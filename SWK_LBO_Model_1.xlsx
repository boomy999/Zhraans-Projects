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" sheetId="1" state="visible" r:id="rId3"/>
    <sheet name="Operating Model" sheetId="2" state="visible" r:id="rId4"/>
    <sheet name="Debt Schedule" sheetId="3" state="visible" r:id="rId5"/>
    <sheet name="Returns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<sst xmlns="http://schemas.openxmlformats.org/spreadsheetml/2006/main" count="128" uniqueCount="104">
  <si>
    <t xml:space="preserve">Stanley Black &amp; Decker (SWK) — LBO Transaction Summary</t>
  </si>
  <si>
    <t xml:space="preserve">Entry (FY2025)</t>
  </si>
  <si>
    <t xml:space="preserve">Year 1</t>
  </si>
  <si>
    <t xml:space="preserve">Year 2</t>
  </si>
  <si>
    <t xml:space="preserve">Year 3</t>
  </si>
  <si>
    <t xml:space="preserve">Year 4</t>
  </si>
  <si>
    <t xml:space="preserve">Year 5 / Exit</t>
  </si>
  <si>
    <t xml:space="preserve">Company Overview</t>
  </si>
  <si>
    <t xml:space="preserve">LTM Revenue ($mm)</t>
  </si>
  <si>
    <t xml:space="preserve">Source: SWK 10-K FY2025</t>
  </si>
  <si>
    <t xml:space="preserve">LTM EBITDA ($mm)</t>
  </si>
  <si>
    <t xml:space="preserve">Source: SWK 10-K FY2025 (adjusted)</t>
  </si>
  <si>
    <t xml:space="preserve">LTM EBITDA Margin</t>
  </si>
  <si>
    <t xml:space="preserve">Current Share Price ($)</t>
  </si>
  <si>
    <t xml:space="preserve">Shares Outstanding (mm)</t>
  </si>
  <si>
    <t xml:space="preserve">Current Equity Value ($mm)</t>
  </si>
  <si>
    <t xml:space="preserve">Existing Debt ($mm)</t>
  </si>
  <si>
    <t xml:space="preserve">Source: SWK 10-K, midpoint of $5.3-5.86B range</t>
  </si>
  <si>
    <t xml:space="preserve">Cash on Hand ($mm)</t>
  </si>
  <si>
    <t xml:space="preserve">Source: SWK 10-K FY2025 estimate</t>
  </si>
  <si>
    <t xml:space="preserve">Current Enterprise Value ($mm)</t>
  </si>
  <si>
    <t xml:space="preserve">Current EV / EBITDA</t>
  </si>
  <si>
    <t xml:space="preserve">Acquisition Assumptions</t>
  </si>
  <si>
    <t xml:space="preserve">Acquisition Premium</t>
  </si>
  <si>
    <t xml:space="preserve">Key assumption — 15% premium to unaffected price</t>
  </si>
  <si>
    <t xml:space="preserve">Offer Price per Share ($)</t>
  </si>
  <si>
    <t xml:space="preserve">Equity Purchase Price ($mm)</t>
  </si>
  <si>
    <t xml:space="preserve">Transaction Fees ($mm)</t>
  </si>
  <si>
    <t xml:space="preserve">~1% of EV, banker/legal/advisory</t>
  </si>
  <si>
    <t xml:space="preserve">Total Enterprise Value ($mm)</t>
  </si>
  <si>
    <t xml:space="preserve">Implied Entry Multiple (EV/EBITDA)</t>
  </si>
  <si>
    <t xml:space="preserve">Capital Structure — Sources &amp; Uses</t>
  </si>
  <si>
    <t xml:space="preserve">SOURCES</t>
  </si>
  <si>
    <t xml:space="preserve">Amount ($mm)</t>
  </si>
  <si>
    <t xml:space="preserve">Multiple</t>
  </si>
  <si>
    <t xml:space="preserve">Rate</t>
  </si>
  <si>
    <t xml:space="preserve">Senior Secured Term Loan</t>
  </si>
  <si>
    <t xml:space="preserve">High-Yield Unsecured Notes</t>
  </si>
  <si>
    <t xml:space="preserve">Total Debt</t>
  </si>
  <si>
    <t xml:space="preserve">Sponsor Equity</t>
  </si>
  <si>
    <t xml:space="preserve">Total Sources</t>
  </si>
  <si>
    <t xml:space="preserve">USES</t>
  </si>
  <si>
    <t xml:space="preserve">Equity Purchase Price</t>
  </si>
  <si>
    <t xml:space="preserve">Refinance Existing Debt</t>
  </si>
  <si>
    <t xml:space="preserve">Transaction Fees</t>
  </si>
  <si>
    <t xml:space="preserve">Less: Cash on Hand</t>
  </si>
  <si>
    <t xml:space="preserve">Total Uses</t>
  </si>
  <si>
    <t xml:space="preserve">Sources - Uses Check</t>
  </si>
  <si>
    <t xml:space="preserve">SWK — Operating Model ($mm)</t>
  </si>
  <si>
    <t xml:space="preserve">Revenue Build</t>
  </si>
  <si>
    <t xml:space="preserve">Revenue Growth Rate</t>
  </si>
  <si>
    <t xml:space="preserve">Total Revenue</t>
  </si>
  <si>
    <t xml:space="preserve">EBITDA Build</t>
  </si>
  <si>
    <t xml:space="preserve">EBITDA Margin</t>
  </si>
  <si>
    <t xml:space="preserve">EBITDA</t>
  </si>
  <si>
    <t xml:space="preserve">EBITDA Growth %</t>
  </si>
  <si>
    <t xml:space="preserve">Free Cash Flow</t>
  </si>
  <si>
    <t xml:space="preserve">(-) D&amp;A</t>
  </si>
  <si>
    <t xml:space="preserve">EBIT</t>
  </si>
  <si>
    <t xml:space="preserve">(-) Cash Taxes @ 25%</t>
  </si>
  <si>
    <t xml:space="preserve">(+) D&amp;A Add-Back</t>
  </si>
  <si>
    <t xml:space="preserve">(-) CapEx (% of Revenue)</t>
  </si>
  <si>
    <t xml:space="preserve">(-) Change in NWC</t>
  </si>
  <si>
    <t xml:space="preserve">Levered Free Cash Flow</t>
  </si>
  <si>
    <t xml:space="preserve">Interest Expense</t>
  </si>
  <si>
    <t xml:space="preserve">Interest on Senior Debt</t>
  </si>
  <si>
    <t xml:space="preserve">Interest on HY Notes</t>
  </si>
  <si>
    <t xml:space="preserve">Total Interest Expense</t>
  </si>
  <si>
    <t xml:space="preserve">FCF Available for Debt Repayment</t>
  </si>
  <si>
    <t xml:space="preserve">SWK — Debt Schedule ($mm)</t>
  </si>
  <si>
    <t xml:space="preserve">Senior Secured Term Loan (3.5x)</t>
  </si>
  <si>
    <t xml:space="preserve">Beginning Balance</t>
  </si>
  <si>
    <t xml:space="preserve">(-) Mandatory Amortization (2%/yr)</t>
  </si>
  <si>
    <t xml:space="preserve">Ending Balance</t>
  </si>
  <si>
    <t xml:space="preserve">Senior Leverage (x EBITDA)</t>
  </si>
  <si>
    <t xml:space="preserve">High-Yield Unsecured Notes (2.0x)</t>
  </si>
  <si>
    <t xml:space="preserve">Repayment (from excess FCF)</t>
  </si>
  <si>
    <t xml:space="preserve">Total Debt Summary</t>
  </si>
  <si>
    <t xml:space="preserve">Total Leverage (x EBITDA)</t>
  </si>
  <si>
    <t xml:space="preserve">Cumulative Debt Repaid</t>
  </si>
  <si>
    <t xml:space="preserve">SWK — Returns Analysis</t>
  </si>
  <si>
    <t xml:space="preserve">Equity Value Buildup</t>
  </si>
  <si>
    <t xml:space="preserve">Exit Multiple</t>
  </si>
  <si>
    <t xml:space="preserve">Implied Enterprise Value</t>
  </si>
  <si>
    <t xml:space="preserve">(-) Total Debt</t>
  </si>
  <si>
    <t xml:space="preserve">Implied Equity Value</t>
  </si>
  <si>
    <t xml:space="preserve">Sponsor Returns (if exited at each year)</t>
  </si>
  <si>
    <t xml:space="preserve">Sponsor Equity Invested</t>
  </si>
  <si>
    <t xml:space="preserve">MOIC</t>
  </si>
  <si>
    <t xml:space="preserve">IRR</t>
  </si>
  <si>
    <t xml:space="preserve">Return Attribution (Year 5 Exit)</t>
  </si>
  <si>
    <t xml:space="preserve">Entry Enterprise Value</t>
  </si>
  <si>
    <t xml:space="preserve">Exit Enterprise Value</t>
  </si>
  <si>
    <t xml:space="preserve">Total EV Gain</t>
  </si>
  <si>
    <t xml:space="preserve">  From EBITDA Growth</t>
  </si>
  <si>
    <t xml:space="preserve">  From Multiple Expansion</t>
  </si>
  <si>
    <t xml:space="preserve">Total Debt Repaid Over Hold</t>
  </si>
  <si>
    <t xml:space="preserve">5-Year MOIC</t>
  </si>
  <si>
    <t xml:space="preserve">5-Year IRR</t>
  </si>
  <si>
    <t xml:space="preserve">SWK — IRR Sensitivity Analysis</t>
  </si>
  <si>
    <t xml:space="preserve">IRR: Exit Multiple vs EBITDA Margin at Exit</t>
  </si>
  <si>
    <t xml:space="preserve">Exit Mult ↓ / Margin →</t>
  </si>
  <si>
    <t xml:space="preserve">IRR: Entry Premium vs Exit Multiple</t>
  </si>
  <si>
    <t xml:space="preserve">Premium ↓ / Exit Mult →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</si>
</sst>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\$#,##0.00"/>
    <numFmt numFmtId="168" formatCode="0.0\x"/>
    <numFmt numFmtId="169" formatCode="#,##0;\(#,##0\);\-"/>
    <numFmt numFmtId="170" formatCode="0.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FF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6"/>
    <col collapsed="false" customWidth="true" hidden="false" outlineLevel="0" max="8" min="8" style="1" width="5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3" customFormat="false" ht="15" hidden="false" customHeight="true" outlineLevel="0" collapsed="false">
      <c r="A3" s="4" t="s">
        <v>7</v>
      </c>
      <c r="B3" s="5"/>
      <c r="C3" s="5"/>
      <c r="D3" s="5"/>
      <c r="E3" s="5"/>
      <c r="F3" s="5"/>
      <c r="G3" s="5"/>
    </row>
    <row r="4" customFormat="false" ht="15" hidden="false" customHeight="true" outlineLevel="0" collapsed="false">
      <c r="A4" s="6" t="s">
        <v>8</v>
      </c>
      <c r="B4" s="7" t="n">
        <v>15130</v>
      </c>
      <c r="H4" s="8" t="s">
        <v>9</v>
      </c>
    </row>
    <row r="5" customFormat="false" ht="15" hidden="false" customHeight="true" outlineLevel="0" collapsed="false">
      <c r="A5" s="6" t="s">
        <v>10</v>
      </c>
      <c r="B5" s="7" t="n">
        <v>1600</v>
      </c>
      <c r="H5" s="8" t="s">
        <v>11</v>
      </c>
    </row>
    <row r="6" customFormat="false" ht="15" hidden="false" customHeight="true" outlineLevel="0" collapsed="false">
      <c r="A6" s="6" t="s">
        <v>12</v>
      </c>
      <c r="B6" s="9" t="n">
        <f aca="false">B5/B4</f>
        <v>0.105750165234633</v>
      </c>
    </row>
    <row r="7" customFormat="false" ht="15" hidden="false" customHeight="true" outlineLevel="0" collapsed="false">
      <c r="A7" s="6" t="s">
        <v>13</v>
      </c>
      <c r="B7" s="10" t="n">
        <v>71</v>
      </c>
    </row>
    <row r="8" customFormat="false" ht="15" hidden="false" customHeight="true" outlineLevel="0" collapsed="false">
      <c r="A8" s="6" t="s">
        <v>14</v>
      </c>
      <c r="B8" s="7" t="n">
        <v>155</v>
      </c>
    </row>
    <row r="9" customFormat="false" ht="15" hidden="false" customHeight="true" outlineLevel="0" collapsed="false">
      <c r="A9" s="6" t="s">
        <v>15</v>
      </c>
      <c r="B9" s="11" t="n">
        <f aca="false">B7*B8</f>
        <v>11005</v>
      </c>
    </row>
    <row r="10" customFormat="false" ht="15" hidden="false" customHeight="true" outlineLevel="0" collapsed="false">
      <c r="A10" s="6" t="s">
        <v>16</v>
      </c>
      <c r="B10" s="7" t="n">
        <v>5500</v>
      </c>
      <c r="H10" s="8" t="s">
        <v>17</v>
      </c>
    </row>
    <row r="11" customFormat="false" ht="15" hidden="false" customHeight="true" outlineLevel="0" collapsed="false">
      <c r="A11" s="6" t="s">
        <v>18</v>
      </c>
      <c r="B11" s="7" t="n">
        <v>300</v>
      </c>
      <c r="H11" s="8" t="s">
        <v>19</v>
      </c>
    </row>
    <row r="12" customFormat="false" ht="15" hidden="false" customHeight="true" outlineLevel="0" collapsed="false">
      <c r="A12" s="6" t="s">
        <v>20</v>
      </c>
      <c r="B12" s="11" t="n">
        <f aca="false">B9+B10-B11</f>
        <v>16205</v>
      </c>
    </row>
    <row r="13" customFormat="false" ht="15" hidden="false" customHeight="true" outlineLevel="0" collapsed="false">
      <c r="A13" s="6" t="s">
        <v>21</v>
      </c>
      <c r="B13" s="12" t="n">
        <f aca="false">B12/B5</f>
        <v>10.128125</v>
      </c>
    </row>
    <row r="15" customFormat="false" ht="15" hidden="false" customHeight="true" outlineLevel="0" collapsed="false">
      <c r="A15" s="4" t="s">
        <v>22</v>
      </c>
      <c r="B15" s="5"/>
      <c r="C15" s="5"/>
      <c r="D15" s="5"/>
      <c r="E15" s="5"/>
      <c r="F15" s="5"/>
      <c r="G15" s="5"/>
    </row>
    <row r="16" customFormat="false" ht="15" hidden="false" customHeight="true" outlineLevel="0" collapsed="false">
      <c r="A16" s="6" t="s">
        <v>23</v>
      </c>
      <c r="B16" s="13" t="n">
        <v>0.15</v>
      </c>
      <c r="H16" s="8" t="s">
        <v>24</v>
      </c>
    </row>
    <row r="17" customFormat="false" ht="15" hidden="false" customHeight="true" outlineLevel="0" collapsed="false">
      <c r="A17" s="6" t="s">
        <v>25</v>
      </c>
      <c r="B17" s="14" t="n">
        <f aca="false">B7*(1+B16)</f>
        <v>81.65</v>
      </c>
    </row>
    <row r="18" customFormat="false" ht="15" hidden="false" customHeight="true" outlineLevel="0" collapsed="false">
      <c r="A18" s="6" t="s">
        <v>26</v>
      </c>
      <c r="B18" s="11" t="n">
        <f aca="false">B17*B8</f>
        <v>12655.75</v>
      </c>
    </row>
    <row r="19" customFormat="false" ht="15" hidden="false" customHeight="true" outlineLevel="0" collapsed="false">
      <c r="A19" s="6" t="s">
        <v>27</v>
      </c>
      <c r="B19" s="7" t="n">
        <v>150</v>
      </c>
      <c r="H19" s="8" t="s">
        <v>28</v>
      </c>
    </row>
    <row r="20" customFormat="false" ht="15" hidden="false" customHeight="true" outlineLevel="0" collapsed="false">
      <c r="A20" s="6" t="s">
        <v>29</v>
      </c>
      <c r="B20" s="11" t="n">
        <f aca="false">B18+B10-B11+B19</f>
        <v>18005.75</v>
      </c>
    </row>
    <row r="21" customFormat="false" ht="15" hidden="false" customHeight="true" outlineLevel="0" collapsed="false">
      <c r="A21" s="6" t="s">
        <v>30</v>
      </c>
      <c r="B21" s="12" t="n">
        <f aca="false">B20/B5</f>
        <v>11.25359375</v>
      </c>
    </row>
    <row r="23" customFormat="false" ht="15" hidden="false" customHeight="true" outlineLevel="0" collapsed="false">
      <c r="A23" s="4" t="s">
        <v>31</v>
      </c>
      <c r="B23" s="5"/>
      <c r="C23" s="5"/>
      <c r="D23" s="5"/>
      <c r="E23" s="5"/>
      <c r="F23" s="5"/>
      <c r="G23" s="5"/>
    </row>
    <row r="24" customFormat="false" ht="15" hidden="false" customHeight="true" outlineLevel="0" collapsed="false">
      <c r="A24" s="15" t="s">
        <v>32</v>
      </c>
      <c r="B24" s="16" t="s">
        <v>33</v>
      </c>
      <c r="C24" s="16" t="s">
        <v>34</v>
      </c>
      <c r="D24" s="16" t="s">
        <v>35</v>
      </c>
    </row>
    <row r="25" customFormat="false" ht="15" hidden="false" customHeight="true" outlineLevel="0" collapsed="false">
      <c r="A25" s="6" t="s">
        <v>36</v>
      </c>
      <c r="B25" s="11" t="n">
        <f aca="false">B5*3.5</f>
        <v>5600</v>
      </c>
      <c r="C25" s="17" t="n">
        <v>3.5</v>
      </c>
      <c r="D25" s="18" t="n">
        <v>0.065</v>
      </c>
    </row>
    <row r="26" customFormat="false" ht="15" hidden="false" customHeight="true" outlineLevel="0" collapsed="false">
      <c r="A26" s="6" t="s">
        <v>37</v>
      </c>
      <c r="B26" s="11" t="n">
        <f aca="false">B5*2</f>
        <v>3200</v>
      </c>
      <c r="C26" s="17" t="n">
        <v>2</v>
      </c>
      <c r="D26" s="18" t="n">
        <v>0.09</v>
      </c>
    </row>
    <row r="27" customFormat="false" ht="15" hidden="false" customHeight="true" outlineLevel="0" collapsed="false">
      <c r="A27" s="15" t="s">
        <v>38</v>
      </c>
      <c r="B27" s="19" t="n">
        <f aca="false">B25+B26</f>
        <v>8800</v>
      </c>
      <c r="C27" s="20" t="n">
        <f aca="false">B27/B5</f>
        <v>5.5</v>
      </c>
    </row>
    <row r="28" customFormat="false" ht="15" hidden="false" customHeight="true" outlineLevel="0" collapsed="false">
      <c r="A28" s="15" t="s">
        <v>39</v>
      </c>
      <c r="B28" s="21" t="n">
        <f aca="false">B20-B27</f>
        <v>9205.75</v>
      </c>
    </row>
    <row r="29" customFormat="false" ht="15" hidden="false" customHeight="true" outlineLevel="0" collapsed="false">
      <c r="A29" s="15" t="s">
        <v>40</v>
      </c>
      <c r="B29" s="22" t="n">
        <f aca="false">B27+B28</f>
        <v>18005.75</v>
      </c>
    </row>
    <row r="31" customFormat="false" ht="15" hidden="false" customHeight="true" outlineLevel="0" collapsed="false">
      <c r="A31" s="15" t="s">
        <v>41</v>
      </c>
      <c r="B31" s="16" t="s">
        <v>33</v>
      </c>
    </row>
    <row r="32" customFormat="false" ht="15" hidden="false" customHeight="true" outlineLevel="0" collapsed="false">
      <c r="A32" s="6" t="s">
        <v>42</v>
      </c>
      <c r="B32" s="23" t="n">
        <f aca="false">B18</f>
        <v>12655.75</v>
      </c>
    </row>
    <row r="33" customFormat="false" ht="15" hidden="false" customHeight="true" outlineLevel="0" collapsed="false">
      <c r="A33" s="6" t="s">
        <v>43</v>
      </c>
      <c r="B33" s="23" t="n">
        <f aca="false">B10</f>
        <v>5500</v>
      </c>
    </row>
    <row r="34" customFormat="false" ht="15" hidden="false" customHeight="true" outlineLevel="0" collapsed="false">
      <c r="A34" s="6" t="s">
        <v>44</v>
      </c>
      <c r="B34" s="23" t="n">
        <f aca="false">B19</f>
        <v>150</v>
      </c>
    </row>
    <row r="35" customFormat="false" ht="15" hidden="false" customHeight="true" outlineLevel="0" collapsed="false">
      <c r="A35" s="6" t="s">
        <v>45</v>
      </c>
      <c r="B35" s="23" t="n">
        <f aca="false">-B11</f>
        <v>-300</v>
      </c>
    </row>
    <row r="36" customFormat="false" ht="15" hidden="false" customHeight="true" outlineLevel="0" collapsed="false">
      <c r="A36" s="15" t="s">
        <v>46</v>
      </c>
      <c r="B36" s="22" t="n">
        <f aca="false">B32+B33+B34+B35</f>
        <v>18005.75</v>
      </c>
    </row>
    <row r="38" customFormat="false" ht="15" hidden="false" customHeight="true" outlineLevel="0" collapsed="false">
      <c r="A38" s="24" t="s">
        <v>47</v>
      </c>
      <c r="B38" s="25" t="n">
        <f aca="false">B29-B36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6"/>
  </cols>
  <sheetData>
    <row r="1" customFormat="false" ht="15" hidden="false" customHeight="true" outlineLevel="0" collapsed="false">
      <c r="A1" s="2" t="s">
        <v>48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3" customFormat="false" ht="15" hidden="false" customHeight="true" outlineLevel="0" collapsed="false">
      <c r="A3" s="4" t="s">
        <v>49</v>
      </c>
      <c r="B3" s="5"/>
      <c r="C3" s="5"/>
      <c r="D3" s="5"/>
      <c r="E3" s="5"/>
      <c r="F3" s="5"/>
      <c r="G3" s="5"/>
    </row>
    <row r="4" customFormat="false" ht="15" hidden="false" customHeight="true" outlineLevel="0" collapsed="false">
      <c r="A4" s="6" t="s">
        <v>50</v>
      </c>
      <c r="C4" s="26" t="n">
        <v>0.03</v>
      </c>
      <c r="D4" s="26" t="n">
        <v>0.03</v>
      </c>
      <c r="E4" s="26" t="n">
        <v>0.03</v>
      </c>
      <c r="F4" s="26" t="n">
        <v>0.03</v>
      </c>
      <c r="G4" s="26" t="n">
        <v>0.03</v>
      </c>
    </row>
    <row r="5" customFormat="false" ht="15" hidden="false" customHeight="true" outlineLevel="0" collapsed="false">
      <c r="A5" s="15" t="s">
        <v>51</v>
      </c>
      <c r="B5" s="23" t="n">
        <f aca="false">Transaction!B4</f>
        <v>15130</v>
      </c>
      <c r="C5" s="11" t="n">
        <f aca="false">B5*(1+C4)</f>
        <v>15583.9</v>
      </c>
      <c r="D5" s="11" t="n">
        <f aca="false">C5*(1+D4)</f>
        <v>16051.417</v>
      </c>
      <c r="E5" s="11" t="n">
        <f aca="false">D5*(1+E4)</f>
        <v>16532.95951</v>
      </c>
      <c r="F5" s="11" t="n">
        <f aca="false">E5*(1+F4)</f>
        <v>17028.9482953</v>
      </c>
      <c r="G5" s="11" t="n">
        <f aca="false">F5*(1+G4)</f>
        <v>17539.816744159</v>
      </c>
    </row>
    <row r="7" customFormat="false" ht="15" hidden="false" customHeight="true" outlineLevel="0" collapsed="false">
      <c r="A7" s="4" t="s">
        <v>52</v>
      </c>
      <c r="B7" s="5"/>
      <c r="C7" s="5"/>
      <c r="D7" s="5"/>
      <c r="E7" s="5"/>
      <c r="F7" s="5"/>
      <c r="G7" s="5"/>
    </row>
    <row r="8" customFormat="false" ht="15" hidden="false" customHeight="true" outlineLevel="0" collapsed="false">
      <c r="A8" s="6" t="s">
        <v>53</v>
      </c>
      <c r="B8" s="18" t="n">
        <v>0.106</v>
      </c>
      <c r="C8" s="26" t="n">
        <v>0.125</v>
      </c>
      <c r="D8" s="26" t="n">
        <v>0.14</v>
      </c>
      <c r="E8" s="26" t="n">
        <v>0.15</v>
      </c>
      <c r="F8" s="26" t="n">
        <v>0.16</v>
      </c>
      <c r="G8" s="26" t="n">
        <v>0.17</v>
      </c>
    </row>
    <row r="9" customFormat="false" ht="15" hidden="false" customHeight="true" outlineLevel="0" collapsed="false">
      <c r="A9" s="15" t="s">
        <v>54</v>
      </c>
      <c r="B9" s="19" t="n">
        <f aca="false">B5*B8</f>
        <v>1603.78</v>
      </c>
      <c r="C9" s="19" t="n">
        <f aca="false">C5*C8</f>
        <v>1947.9875</v>
      </c>
      <c r="D9" s="19" t="n">
        <f aca="false">D5*D8</f>
        <v>2247.19838</v>
      </c>
      <c r="E9" s="19" t="n">
        <f aca="false">E5*E8</f>
        <v>2479.9439265</v>
      </c>
      <c r="F9" s="19" t="n">
        <f aca="false">F5*F8</f>
        <v>2724.631727248</v>
      </c>
      <c r="G9" s="19" t="n">
        <f aca="false">G5*G8</f>
        <v>2981.76884650703</v>
      </c>
    </row>
    <row r="10" customFormat="false" ht="15" hidden="false" customHeight="true" outlineLevel="0" collapsed="false">
      <c r="A10" s="6" t="s">
        <v>55</v>
      </c>
      <c r="C10" s="9" t="n">
        <f aca="false">(C9-B9)/B9</f>
        <v>0.214622641509434</v>
      </c>
      <c r="D10" s="9" t="n">
        <f aca="false">(D9-C9)/C9</f>
        <v>0.1536</v>
      </c>
      <c r="E10" s="9" t="n">
        <f aca="false">(E9-D9)/D9</f>
        <v>0.103571428571428</v>
      </c>
      <c r="F10" s="9" t="n">
        <f aca="false">(F9-E9)/E9</f>
        <v>0.0986666666666667</v>
      </c>
      <c r="G10" s="9" t="n">
        <f aca="false">(G9-F9)/F9</f>
        <v>0.0943750000000002</v>
      </c>
    </row>
    <row r="12" customFormat="false" ht="15" hidden="false" customHeight="true" outlineLevel="0" collapsed="false">
      <c r="A12" s="4" t="s">
        <v>56</v>
      </c>
      <c r="B12" s="5"/>
      <c r="C12" s="5"/>
      <c r="D12" s="5"/>
      <c r="E12" s="5"/>
      <c r="F12" s="5"/>
      <c r="G12" s="5"/>
    </row>
    <row r="13" customFormat="false" ht="15" hidden="false" customHeight="true" outlineLevel="0" collapsed="false">
      <c r="A13" s="6" t="s">
        <v>54</v>
      </c>
      <c r="B13" s="11" t="n">
        <f aca="false">B9</f>
        <v>1603.78</v>
      </c>
      <c r="C13" s="11" t="n">
        <f aca="false">C9</f>
        <v>1947.9875</v>
      </c>
      <c r="D13" s="11" t="n">
        <f aca="false">D9</f>
        <v>2247.19838</v>
      </c>
      <c r="E13" s="11" t="n">
        <f aca="false">E9</f>
        <v>2479.9439265</v>
      </c>
      <c r="F13" s="11" t="n">
        <f aca="false">F9</f>
        <v>2724.631727248</v>
      </c>
      <c r="G13" s="11" t="n">
        <f aca="false">G9</f>
        <v>2981.76884650703</v>
      </c>
    </row>
    <row r="14" customFormat="false" ht="15" hidden="false" customHeight="true" outlineLevel="0" collapsed="false">
      <c r="A14" s="6" t="s">
        <v>57</v>
      </c>
      <c r="B14" s="7" t="n">
        <v>-500</v>
      </c>
      <c r="C14" s="11" t="n">
        <f aca="false">B14*1.02</f>
        <v>-510</v>
      </c>
      <c r="D14" s="11" t="n">
        <f aca="false">C14*1.02</f>
        <v>-520.2</v>
      </c>
      <c r="E14" s="11" t="n">
        <f aca="false">D14*1.02</f>
        <v>-530.604</v>
      </c>
      <c r="F14" s="11" t="n">
        <f aca="false">E14*1.02</f>
        <v>-541.21608</v>
      </c>
      <c r="G14" s="11" t="n">
        <f aca="false">F14*1.02</f>
        <v>-552.0404016</v>
      </c>
    </row>
    <row r="15" customFormat="false" ht="15" hidden="false" customHeight="true" outlineLevel="0" collapsed="false">
      <c r="A15" s="15" t="s">
        <v>58</v>
      </c>
      <c r="B15" s="27" t="n">
        <f aca="false">B13+B14</f>
        <v>1103.78</v>
      </c>
      <c r="C15" s="27" t="n">
        <f aca="false">C13+C14</f>
        <v>1437.9875</v>
      </c>
      <c r="D15" s="27" t="n">
        <f aca="false">D13+D14</f>
        <v>1726.99838</v>
      </c>
      <c r="E15" s="27" t="n">
        <f aca="false">E13+E14</f>
        <v>1949.3399265</v>
      </c>
      <c r="F15" s="27" t="n">
        <f aca="false">F13+F14</f>
        <v>2183.415647248</v>
      </c>
      <c r="G15" s="27" t="n">
        <f aca="false">G13+G14</f>
        <v>2429.72844490703</v>
      </c>
    </row>
    <row r="16" customFormat="false" ht="15" hidden="false" customHeight="true" outlineLevel="0" collapsed="false">
      <c r="A16" s="6" t="s">
        <v>59</v>
      </c>
      <c r="B16" s="11" t="n">
        <f aca="false">-B15*0.25</f>
        <v>-275.945</v>
      </c>
      <c r="C16" s="11" t="n">
        <f aca="false">-C15*0.25</f>
        <v>-359.496875</v>
      </c>
      <c r="D16" s="11" t="n">
        <f aca="false">-D15*0.25</f>
        <v>-431.749595</v>
      </c>
      <c r="E16" s="11" t="n">
        <f aca="false">-E15*0.25</f>
        <v>-487.334981625</v>
      </c>
      <c r="F16" s="11" t="n">
        <f aca="false">-F15*0.25</f>
        <v>-545.853911812</v>
      </c>
      <c r="G16" s="11" t="n">
        <f aca="false">-G15*0.25</f>
        <v>-607.432111226758</v>
      </c>
    </row>
    <row r="17" customFormat="false" ht="15" hidden="false" customHeight="true" outlineLevel="0" collapsed="false">
      <c r="A17" s="6" t="s">
        <v>60</v>
      </c>
      <c r="B17" s="11" t="n">
        <f aca="false">-B14</f>
        <v>500</v>
      </c>
      <c r="C17" s="11" t="n">
        <f aca="false">-C14</f>
        <v>510</v>
      </c>
      <c r="D17" s="11" t="n">
        <f aca="false">-D14</f>
        <v>520.2</v>
      </c>
      <c r="E17" s="11" t="n">
        <f aca="false">-E14</f>
        <v>530.604</v>
      </c>
      <c r="F17" s="11" t="n">
        <f aca="false">-F14</f>
        <v>541.21608</v>
      </c>
      <c r="G17" s="11" t="n">
        <f aca="false">-G14</f>
        <v>552.0404016</v>
      </c>
    </row>
    <row r="18" customFormat="false" ht="15" hidden="false" customHeight="true" outlineLevel="0" collapsed="false">
      <c r="A18" s="6" t="s">
        <v>61</v>
      </c>
      <c r="B18" s="11" t="n">
        <f aca="false">-B5*0.025</f>
        <v>-378.25</v>
      </c>
      <c r="C18" s="11" t="n">
        <f aca="false">-C5*0.025</f>
        <v>-389.5975</v>
      </c>
      <c r="D18" s="11" t="n">
        <f aca="false">-D5*0.025</f>
        <v>-401.285425</v>
      </c>
      <c r="E18" s="11" t="n">
        <f aca="false">-E5*0.025</f>
        <v>-413.32398775</v>
      </c>
      <c r="F18" s="11" t="n">
        <f aca="false">-F5*0.025</f>
        <v>-425.7237073825</v>
      </c>
      <c r="G18" s="11" t="n">
        <f aca="false">-G5*0.025</f>
        <v>-438.495418603975</v>
      </c>
    </row>
    <row r="19" customFormat="false" ht="15" hidden="false" customHeight="true" outlineLevel="0" collapsed="false">
      <c r="A19" s="6" t="s">
        <v>62</v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</row>
    <row r="21" customFormat="false" ht="15" hidden="false" customHeight="true" outlineLevel="0" collapsed="false">
      <c r="A21" s="15" t="s">
        <v>63</v>
      </c>
      <c r="B21" s="19" t="n">
        <f aca="false">B15+B16+B17+B18+B19</f>
        <v>949.585</v>
      </c>
      <c r="C21" s="19" t="n">
        <f aca="false">C15+C16+C17+C18+C19</f>
        <v>1198.893125</v>
      </c>
      <c r="D21" s="19" t="n">
        <f aca="false">D15+D16+D17+D18+D19</f>
        <v>1414.16336</v>
      </c>
      <c r="E21" s="19" t="n">
        <f aca="false">E15+E16+E17+E18+E19</f>
        <v>1579.284957125</v>
      </c>
      <c r="F21" s="19" t="n">
        <f aca="false">F15+F16+F17+F18+F19</f>
        <v>1753.0541080535</v>
      </c>
      <c r="G21" s="19" t="n">
        <f aca="false">G15+G16+G17+G18+G19</f>
        <v>1935.8413166763</v>
      </c>
    </row>
    <row r="23" customFormat="false" ht="15" hidden="false" customHeight="true" outlineLevel="0" collapsed="false">
      <c r="A23" s="4" t="s">
        <v>64</v>
      </c>
      <c r="B23" s="5"/>
      <c r="C23" s="5"/>
      <c r="D23" s="5"/>
      <c r="E23" s="5"/>
      <c r="F23" s="5"/>
      <c r="G23" s="5"/>
    </row>
    <row r="24" customFormat="false" ht="15" hidden="false" customHeight="true" outlineLevel="0" collapsed="false">
      <c r="A24" s="6" t="s">
        <v>65</v>
      </c>
      <c r="B24" s="23" t="n">
        <f aca="false">'Debt Schedule'!B4*Transaction!$D$25</f>
        <v>364</v>
      </c>
      <c r="C24" s="23" t="n">
        <f aca="false">'Debt Schedule'!C4*Transaction!$D$25</f>
        <v>356.72</v>
      </c>
      <c r="D24" s="23" t="n">
        <f aca="false">'Debt Schedule'!D4*Transaction!$D$25</f>
        <v>349.44</v>
      </c>
      <c r="E24" s="23" t="n">
        <f aca="false">'Debt Schedule'!E4*Transaction!$D$25</f>
        <v>342.16</v>
      </c>
      <c r="F24" s="23" t="n">
        <f aca="false">'Debt Schedule'!F4*Transaction!$D$25</f>
        <v>334.88</v>
      </c>
      <c r="G24" s="23" t="n">
        <f aca="false">'Debt Schedule'!G4*Transaction!$D$25</f>
        <v>327.6</v>
      </c>
    </row>
    <row r="25" customFormat="false" ht="15" hidden="false" customHeight="true" outlineLevel="0" collapsed="false">
      <c r="A25" s="6" t="s">
        <v>66</v>
      </c>
      <c r="B25" s="23" t="n">
        <f aca="false">'Debt Schedule'!B10*Transaction!$D$26</f>
        <v>288</v>
      </c>
      <c r="C25" s="23" t="n">
        <f aca="false">'Debt Schedule'!C10*Transaction!$D$26</f>
        <v>271.29735</v>
      </c>
      <c r="D25" s="23" t="n">
        <f aca="false">'Debt Schedule'!D10*Transaction!$D$26</f>
        <v>229.99853025</v>
      </c>
      <c r="E25" s="23" t="n">
        <f aca="false">'Debt Schedule'!E10*Transaction!$D$26</f>
        <v>164.9532955725</v>
      </c>
      <c r="F25" s="23" t="n">
        <f aca="false">'Debt Schedule'!F10*Transaction!$D$26</f>
        <v>78.537846032775</v>
      </c>
      <c r="G25" s="23" t="n">
        <f aca="false">'Debt Schedule'!G10*Transaction!$D$26</f>
        <v>0</v>
      </c>
    </row>
    <row r="26" customFormat="false" ht="15" hidden="false" customHeight="true" outlineLevel="0" collapsed="false">
      <c r="A26" s="15" t="s">
        <v>67</v>
      </c>
      <c r="B26" s="19" t="n">
        <f aca="false">B24+B25</f>
        <v>652</v>
      </c>
      <c r="C26" s="19" t="n">
        <f aca="false">C24+C25</f>
        <v>628.01735</v>
      </c>
      <c r="D26" s="19" t="n">
        <f aca="false">D24+D25</f>
        <v>579.43853025</v>
      </c>
      <c r="E26" s="19" t="n">
        <f aca="false">E24+E25</f>
        <v>507.1132955725</v>
      </c>
      <c r="F26" s="19" t="n">
        <f aca="false">F24+F25</f>
        <v>413.417846032775</v>
      </c>
      <c r="G26" s="19" t="n">
        <f aca="false">G24+G25</f>
        <v>327.6</v>
      </c>
    </row>
    <row r="28" customFormat="false" ht="15" hidden="false" customHeight="true" outlineLevel="0" collapsed="false">
      <c r="A28" s="15" t="s">
        <v>68</v>
      </c>
      <c r="B28" s="22" t="n">
        <f aca="false">B21-B26</f>
        <v>297.585</v>
      </c>
      <c r="C28" s="22" t="n">
        <f aca="false">C21-C26</f>
        <v>570.875775</v>
      </c>
      <c r="D28" s="22" t="n">
        <f aca="false">D21-D26</f>
        <v>834.72482975</v>
      </c>
      <c r="E28" s="22" t="n">
        <f aca="false">E21-E26</f>
        <v>1072.1716615525</v>
      </c>
      <c r="F28" s="22" t="n">
        <f aca="false">F21-F26</f>
        <v>1339.63626202072</v>
      </c>
      <c r="G28" s="22" t="n">
        <f aca="false">G21-G26</f>
        <v>1608.2413166763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6"/>
  </cols>
  <sheetData>
    <row r="1" customFormat="false" ht="15" hidden="false" customHeight="true" outlineLevel="0" collapsed="false">
      <c r="A1" s="2" t="s">
        <v>69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3" customFormat="false" ht="15" hidden="false" customHeight="true" outlineLevel="0" collapsed="false">
      <c r="A3" s="4" t="s">
        <v>70</v>
      </c>
      <c r="B3" s="5"/>
      <c r="C3" s="5"/>
      <c r="D3" s="5"/>
      <c r="E3" s="5"/>
      <c r="F3" s="5"/>
      <c r="G3" s="5"/>
    </row>
    <row r="4" customFormat="false" ht="15" hidden="false" customHeight="true" outlineLevel="0" collapsed="false">
      <c r="A4" s="6" t="s">
        <v>71</v>
      </c>
      <c r="B4" s="23" t="n">
        <f aca="false">Transaction!B25</f>
        <v>5600</v>
      </c>
      <c r="C4" s="11" t="n">
        <f aca="false">B6</f>
        <v>5488</v>
      </c>
      <c r="D4" s="11" t="n">
        <f aca="false">C6</f>
        <v>5376</v>
      </c>
      <c r="E4" s="11" t="n">
        <f aca="false">D6</f>
        <v>5264</v>
      </c>
      <c r="F4" s="11" t="n">
        <f aca="false">E6</f>
        <v>5152</v>
      </c>
      <c r="G4" s="11" t="n">
        <f aca="false">F6</f>
        <v>5040</v>
      </c>
    </row>
    <row r="5" customFormat="false" ht="15" hidden="false" customHeight="true" outlineLevel="0" collapsed="false">
      <c r="A5" s="6" t="s">
        <v>72</v>
      </c>
      <c r="B5" s="11" t="n">
        <f aca="false">-Transaction!$B$25*0.02</f>
        <v>-112</v>
      </c>
      <c r="C5" s="11" t="n">
        <f aca="false">-Transaction!$B$25*0.02</f>
        <v>-112</v>
      </c>
      <c r="D5" s="11" t="n">
        <f aca="false">-Transaction!$B$25*0.02</f>
        <v>-112</v>
      </c>
      <c r="E5" s="11" t="n">
        <f aca="false">-Transaction!$B$25*0.02</f>
        <v>-112</v>
      </c>
      <c r="F5" s="11" t="n">
        <f aca="false">-Transaction!$B$25*0.02</f>
        <v>-112</v>
      </c>
      <c r="G5" s="11" t="n">
        <f aca="false">-Transaction!$B$25*0.02</f>
        <v>-112</v>
      </c>
    </row>
    <row r="6" customFormat="false" ht="15" hidden="false" customHeight="true" outlineLevel="0" collapsed="false">
      <c r="A6" s="15" t="s">
        <v>73</v>
      </c>
      <c r="B6" s="19" t="n">
        <f aca="false">MAX(0,B4+B5)</f>
        <v>5488</v>
      </c>
      <c r="C6" s="19" t="n">
        <f aca="false">MAX(0,C4+C5)</f>
        <v>5376</v>
      </c>
      <c r="D6" s="19" t="n">
        <f aca="false">MAX(0,D4+D5)</f>
        <v>5264</v>
      </c>
      <c r="E6" s="19" t="n">
        <f aca="false">MAX(0,E4+E5)</f>
        <v>5152</v>
      </c>
      <c r="F6" s="19" t="n">
        <f aca="false">MAX(0,F4+F5)</f>
        <v>5040</v>
      </c>
      <c r="G6" s="19" t="n">
        <f aca="false">MAX(0,G4+G5)</f>
        <v>4928</v>
      </c>
    </row>
    <row r="7" customFormat="false" ht="15" hidden="false" customHeight="true" outlineLevel="0" collapsed="false">
      <c r="A7" s="6" t="s">
        <v>74</v>
      </c>
      <c r="B7" s="12" t="n">
        <f aca="false">B6/'Operating Model'!B9</f>
        <v>3.42191572410181</v>
      </c>
      <c r="C7" s="12" t="n">
        <f aca="false">C6/'Operating Model'!C9</f>
        <v>2.75977130243392</v>
      </c>
      <c r="D7" s="12" t="n">
        <f aca="false">D6/'Operating Model'!D9</f>
        <v>2.34247231879902</v>
      </c>
      <c r="E7" s="12" t="n">
        <f aca="false">E6/'Operating Model'!E9</f>
        <v>2.07746632693874</v>
      </c>
      <c r="F7" s="12" t="n">
        <f aca="false">F6/'Operating Model'!F9</f>
        <v>1.84979127622896</v>
      </c>
      <c r="G7" s="12" t="n">
        <f aca="false">G6/'Operating Model'!G9</f>
        <v>1.65271027154666</v>
      </c>
    </row>
    <row r="9" customFormat="false" ht="15" hidden="false" customHeight="true" outlineLevel="0" collapsed="false">
      <c r="A9" s="4" t="s">
        <v>75</v>
      </c>
      <c r="B9" s="5"/>
      <c r="C9" s="5"/>
      <c r="D9" s="5"/>
      <c r="E9" s="5"/>
      <c r="F9" s="5"/>
      <c r="G9" s="5"/>
    </row>
    <row r="10" customFormat="false" ht="15" hidden="false" customHeight="true" outlineLevel="0" collapsed="false">
      <c r="A10" s="6" t="s">
        <v>71</v>
      </c>
      <c r="B10" s="23" t="n">
        <f aca="false">Transaction!B26</f>
        <v>3200</v>
      </c>
      <c r="C10" s="11" t="n">
        <f aca="false">B12</f>
        <v>3014.415</v>
      </c>
      <c r="D10" s="11" t="n">
        <f aca="false">C12</f>
        <v>2555.539225</v>
      </c>
      <c r="E10" s="11" t="n">
        <f aca="false">D12</f>
        <v>1832.81439525</v>
      </c>
      <c r="F10" s="11" t="n">
        <f aca="false">E12</f>
        <v>872.6427336975</v>
      </c>
      <c r="G10" s="11" t="n">
        <f aca="false">F12</f>
        <v>0</v>
      </c>
    </row>
    <row r="11" customFormat="false" ht="15" hidden="false" customHeight="true" outlineLevel="0" collapsed="false">
      <c r="A11" s="6" t="s">
        <v>76</v>
      </c>
      <c r="B11" s="11" t="n">
        <f aca="false">-MIN(B10, MAX(0, 'Operating Model'!B28+B5))</f>
        <v>-185.585</v>
      </c>
      <c r="C11" s="11" t="n">
        <f aca="false">-MIN(C10, MAX(0, 'Operating Model'!C28+C5))</f>
        <v>-458.875775</v>
      </c>
      <c r="D11" s="11" t="n">
        <f aca="false">-MIN(D10, MAX(0, 'Operating Model'!D28+D5))</f>
        <v>-722.72482975</v>
      </c>
      <c r="E11" s="11" t="n">
        <f aca="false">-MIN(E10, MAX(0, 'Operating Model'!E28+E5))</f>
        <v>-960.1716615525</v>
      </c>
      <c r="F11" s="11" t="n">
        <f aca="false">-MIN(F10, MAX(0, 'Operating Model'!F28+F5))</f>
        <v>-872.6427336975</v>
      </c>
      <c r="G11" s="11" t="n">
        <f aca="false">-MIN(G10, MAX(0, 'Operating Model'!G28+G5))</f>
        <v>-0</v>
      </c>
    </row>
    <row r="12" customFormat="false" ht="15" hidden="false" customHeight="true" outlineLevel="0" collapsed="false">
      <c r="A12" s="15" t="s">
        <v>73</v>
      </c>
      <c r="B12" s="19" t="n">
        <f aca="false">MAX(0,B10+B11)</f>
        <v>3014.415</v>
      </c>
      <c r="C12" s="19" t="n">
        <f aca="false">MAX(0,C10+C11)</f>
        <v>2555.539225</v>
      </c>
      <c r="D12" s="19" t="n">
        <f aca="false">MAX(0,D10+D11)</f>
        <v>1832.81439525</v>
      </c>
      <c r="E12" s="19" t="n">
        <f aca="false">MAX(0,E10+E11)</f>
        <v>872.6427336975</v>
      </c>
      <c r="F12" s="19" t="n">
        <f aca="false">MAX(0,F10+F11)</f>
        <v>0</v>
      </c>
      <c r="G12" s="19" t="n">
        <f aca="false">MAX(0,G10+G11)</f>
        <v>0</v>
      </c>
    </row>
    <row r="14" customFormat="false" ht="15" hidden="false" customHeight="true" outlineLevel="0" collapsed="false">
      <c r="A14" s="4" t="s">
        <v>77</v>
      </c>
      <c r="B14" s="5"/>
      <c r="C14" s="5"/>
      <c r="D14" s="5"/>
      <c r="E14" s="5"/>
      <c r="F14" s="5"/>
      <c r="G14" s="5"/>
    </row>
    <row r="15" customFormat="false" ht="15" hidden="false" customHeight="true" outlineLevel="0" collapsed="false">
      <c r="A15" s="15" t="s">
        <v>38</v>
      </c>
      <c r="B15" s="19" t="n">
        <f aca="false">B6+B12</f>
        <v>8502.415</v>
      </c>
      <c r="C15" s="19" t="n">
        <f aca="false">C6+C12</f>
        <v>7931.539225</v>
      </c>
      <c r="D15" s="19" t="n">
        <f aca="false">D6+D12</f>
        <v>7096.81439525</v>
      </c>
      <c r="E15" s="19" t="n">
        <f aca="false">E6+E12</f>
        <v>6024.6427336975</v>
      </c>
      <c r="F15" s="19" t="n">
        <f aca="false">F6+F12</f>
        <v>5040</v>
      </c>
      <c r="G15" s="19" t="n">
        <f aca="false">G6+G12</f>
        <v>4928</v>
      </c>
    </row>
    <row r="16" customFormat="false" ht="15" hidden="false" customHeight="true" outlineLevel="0" collapsed="false">
      <c r="A16" s="15" t="s">
        <v>78</v>
      </c>
      <c r="B16" s="20" t="n">
        <f aca="false">B15/'Operating Model'!B9</f>
        <v>5.30148461759094</v>
      </c>
      <c r="C16" s="20" t="n">
        <f aca="false">C15/'Operating Model'!C9</f>
        <v>4.07165817285789</v>
      </c>
      <c r="D16" s="20" t="n">
        <f aca="false">D15/'Operating Model'!D9</f>
        <v>3.15807205025219</v>
      </c>
      <c r="E16" s="20" t="n">
        <f aca="false">E15/'Operating Model'!E9</f>
        <v>2.42934635308477</v>
      </c>
      <c r="F16" s="20" t="n">
        <f aca="false">F15/'Operating Model'!F9</f>
        <v>1.84979127622896</v>
      </c>
      <c r="G16" s="20" t="n">
        <f aca="false">G15/'Operating Model'!G9</f>
        <v>1.65271027154666</v>
      </c>
    </row>
    <row r="17" customFormat="false" ht="15" hidden="false" customHeight="true" outlineLevel="0" collapsed="false">
      <c r="A17" s="6" t="s">
        <v>79</v>
      </c>
      <c r="B17" s="11" t="n">
        <v>0</v>
      </c>
      <c r="C17" s="11" t="n">
        <f aca="false">Transaction!B27-C15</f>
        <v>868.460775</v>
      </c>
      <c r="D17" s="11" t="n">
        <f aca="false">Transaction!B27-D15</f>
        <v>1703.18560475</v>
      </c>
      <c r="E17" s="11" t="n">
        <f aca="false">Transaction!B27-E15</f>
        <v>2775.3572663025</v>
      </c>
      <c r="F17" s="11" t="n">
        <f aca="false">Transaction!B27-F15</f>
        <v>3760</v>
      </c>
      <c r="G17" s="11" t="n">
        <f aca="false">Transaction!B27-G15</f>
        <v>3872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6"/>
  </cols>
  <sheetData>
    <row r="1" customFormat="false" ht="15" hidden="false" customHeight="true" outlineLevel="0" collapsed="false">
      <c r="A1" s="2" t="s">
        <v>80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3" customFormat="false" ht="15" hidden="false" customHeight="true" outlineLevel="0" collapsed="false">
      <c r="A3" s="28" t="s">
        <v>81</v>
      </c>
      <c r="B3" s="29"/>
      <c r="C3" s="29"/>
      <c r="D3" s="29"/>
      <c r="E3" s="29"/>
      <c r="F3" s="29"/>
      <c r="G3" s="29"/>
    </row>
    <row r="4" customFormat="false" ht="15" hidden="false" customHeight="true" outlineLevel="0" collapsed="false">
      <c r="A4" s="30" t="s">
        <v>54</v>
      </c>
      <c r="B4" s="31" t="n">
        <f aca="false">'Operating Model'!B9</f>
        <v>1603.78</v>
      </c>
      <c r="C4" s="32" t="n">
        <f aca="false">'Operating Model'!C9</f>
        <v>1947.9875</v>
      </c>
      <c r="D4" s="32" t="n">
        <f aca="false">'Operating Model'!D9</f>
        <v>2247.19838</v>
      </c>
      <c r="E4" s="32" t="n">
        <f aca="false">'Operating Model'!E9</f>
        <v>2479.9439265</v>
      </c>
      <c r="F4" s="32" t="n">
        <f aca="false">'Operating Model'!F9</f>
        <v>2724.631727248</v>
      </c>
      <c r="G4" s="32" t="n">
        <f aca="false">'Operating Model'!G9</f>
        <v>2981.76884650703</v>
      </c>
    </row>
    <row r="5" customFormat="false" ht="15" hidden="false" customHeight="true" outlineLevel="0" collapsed="false">
      <c r="A5" s="33" t="s">
        <v>82</v>
      </c>
      <c r="B5" s="34" t="n">
        <f aca="false">Transaction!B21</f>
        <v>11.25359375</v>
      </c>
      <c r="C5" s="35" t="n">
        <v>13</v>
      </c>
      <c r="D5" s="35" t="n">
        <v>13</v>
      </c>
      <c r="E5" s="35" t="n">
        <v>13</v>
      </c>
      <c r="F5" s="35" t="n">
        <v>13</v>
      </c>
      <c r="G5" s="35" t="n">
        <v>13</v>
      </c>
    </row>
    <row r="6" customFormat="false" ht="15" hidden="false" customHeight="true" outlineLevel="0" collapsed="false">
      <c r="A6" s="36" t="s">
        <v>83</v>
      </c>
      <c r="B6" s="37" t="n">
        <f aca="false">B4*B5</f>
        <v>18048.288584375</v>
      </c>
      <c r="C6" s="38" t="n">
        <f aca="false">C4*C5</f>
        <v>25323.8375</v>
      </c>
      <c r="D6" s="38" t="n">
        <f aca="false">D4*D5</f>
        <v>29213.57894</v>
      </c>
      <c r="E6" s="38" t="n">
        <f aca="false">E4*E5</f>
        <v>32239.2710445</v>
      </c>
      <c r="F6" s="38" t="n">
        <f aca="false">F4*F5</f>
        <v>35420.212454224</v>
      </c>
      <c r="G6" s="38" t="n">
        <f aca="false">G4*G5</f>
        <v>38762.9950045914</v>
      </c>
    </row>
    <row r="7" customFormat="false" ht="15" hidden="false" customHeight="true" outlineLevel="0" collapsed="false">
      <c r="A7" s="30" t="s">
        <v>84</v>
      </c>
      <c r="B7" s="31" t="n">
        <f aca="false">-'Debt Schedule'!B15</f>
        <v>-8502.415</v>
      </c>
      <c r="C7" s="32" t="n">
        <f aca="false">-'Debt Schedule'!C15</f>
        <v>-7931.539225</v>
      </c>
      <c r="D7" s="32" t="n">
        <f aca="false">-'Debt Schedule'!D15</f>
        <v>-7096.81439525</v>
      </c>
      <c r="E7" s="32" t="n">
        <f aca="false">-'Debt Schedule'!E15</f>
        <v>-6024.6427336975</v>
      </c>
      <c r="F7" s="32" t="n">
        <f aca="false">-'Debt Schedule'!F15</f>
        <v>-5040</v>
      </c>
      <c r="G7" s="32" t="n">
        <f aca="false">-'Debt Schedule'!G15</f>
        <v>-4928</v>
      </c>
    </row>
    <row r="8" customFormat="false" ht="15" hidden="false" customHeight="true" outlineLevel="0" collapsed="false">
      <c r="A8" s="36" t="s">
        <v>85</v>
      </c>
      <c r="B8" s="39" t="n">
        <f aca="false">B6+B7</f>
        <v>9545.873584375</v>
      </c>
      <c r="C8" s="40" t="n">
        <f aca="false">C6+C7</f>
        <v>17392.298275</v>
      </c>
      <c r="D8" s="40" t="n">
        <f aca="false">D6+D7</f>
        <v>22116.76454475</v>
      </c>
      <c r="E8" s="40" t="n">
        <f aca="false">E6+E7</f>
        <v>26214.6283108025</v>
      </c>
      <c r="F8" s="40" t="n">
        <f aca="false">F6+F7</f>
        <v>30380.212454224</v>
      </c>
      <c r="G8" s="40" t="n">
        <f aca="false">G6+G7</f>
        <v>33834.9950045914</v>
      </c>
    </row>
    <row r="9" customFormat="false" ht="15" hidden="false" customHeight="false" outlineLevel="0" collapsed="false">
      <c r="A9" s="41"/>
      <c r="B9" s="41"/>
      <c r="C9" s="41"/>
      <c r="D9" s="41"/>
      <c r="E9" s="41"/>
      <c r="F9" s="41"/>
      <c r="G9" s="41"/>
    </row>
    <row r="10" customFormat="false" ht="15" hidden="false" customHeight="true" outlineLevel="0" collapsed="false">
      <c r="A10" s="28" t="s">
        <v>86</v>
      </c>
      <c r="B10" s="29"/>
      <c r="C10" s="29"/>
      <c r="D10" s="29"/>
      <c r="E10" s="29"/>
      <c r="F10" s="29"/>
      <c r="G10" s="29"/>
    </row>
    <row r="11" customFormat="false" ht="15" hidden="false" customHeight="true" outlineLevel="0" collapsed="false">
      <c r="A11" s="30" t="s">
        <v>87</v>
      </c>
      <c r="B11" s="31" t="n">
        <f aca="false">Transaction!B28</f>
        <v>9205.75</v>
      </c>
      <c r="C11" s="32" t="n">
        <f aca="false">Transaction!B28</f>
        <v>9205.75</v>
      </c>
      <c r="D11" s="32" t="n">
        <f aca="false">Transaction!B28</f>
        <v>9205.75</v>
      </c>
      <c r="E11" s="32" t="n">
        <f aca="false">Transaction!B28</f>
        <v>9205.75</v>
      </c>
      <c r="F11" s="32" t="n">
        <f aca="false">Transaction!B28</f>
        <v>9205.75</v>
      </c>
      <c r="G11" s="32" t="n">
        <f aca="false">Transaction!B28</f>
        <v>9205.75</v>
      </c>
    </row>
    <row r="12" customFormat="false" ht="15" hidden="false" customHeight="true" outlineLevel="0" collapsed="false">
      <c r="A12" s="36" t="s">
        <v>88</v>
      </c>
      <c r="B12" s="42" t="n">
        <f aca="false">B8/B11</f>
        <v>1.03694686303397</v>
      </c>
      <c r="C12" s="43" t="n">
        <f aca="false">C8/C11</f>
        <v>1.88928639980447</v>
      </c>
      <c r="D12" s="43" t="n">
        <f aca="false">D8/D11</f>
        <v>2.40249458705157</v>
      </c>
      <c r="E12" s="43" t="n">
        <f aca="false">E8/E11</f>
        <v>2.84763634802189</v>
      </c>
      <c r="F12" s="43" t="n">
        <f aca="false">F8/F11</f>
        <v>3.30013442188024</v>
      </c>
      <c r="G12" s="43" t="n">
        <f aca="false">G8/G11</f>
        <v>3.67541971100577</v>
      </c>
    </row>
    <row r="13" customFormat="false" ht="15" hidden="false" customHeight="true" outlineLevel="0" collapsed="false">
      <c r="A13" s="36" t="s">
        <v>89</v>
      </c>
      <c r="B13" s="44"/>
      <c r="C13" s="45" t="n">
        <f aca="false">IFERROR((C8/C11)^(1/1)-1,0)</f>
        <v>0.88928639980447</v>
      </c>
      <c r="D13" s="45" t="n">
        <f aca="false">IFERROR((D8/D11)^(1/2)-1,0)</f>
        <v>0.54999825388662</v>
      </c>
      <c r="E13" s="45" t="n">
        <f aca="false">IFERROR((E8/E11)^(1/3)-1,0)</f>
        <v>0.417407879076809</v>
      </c>
      <c r="F13" s="45" t="n">
        <f aca="false">IFERROR((F8/F11)^(1/4)-1,0)</f>
        <v>0.347823137687796</v>
      </c>
      <c r="G13" s="45" t="n">
        <f aca="false">IFERROR((G8/G11)^(1/5)-1,0)</f>
        <v>0.297362641706623</v>
      </c>
    </row>
    <row r="14" customFormat="false" ht="15" hidden="false" customHeight="true" outlineLevel="0" collapsed="false">
      <c r="A14" s="30"/>
      <c r="B14" s="46"/>
      <c r="C14" s="41"/>
      <c r="D14" s="41"/>
      <c r="E14" s="41"/>
      <c r="F14" s="41"/>
      <c r="G14" s="41"/>
    </row>
    <row r="15" customFormat="false" ht="15" hidden="false" customHeight="false" outlineLevel="0" collapsed="false">
      <c r="A15" s="47" t="s">
        <v>90</v>
      </c>
      <c r="B15" s="48"/>
      <c r="C15" s="48"/>
      <c r="D15" s="48"/>
      <c r="E15" s="48"/>
      <c r="F15" s="48"/>
      <c r="G15" s="48"/>
    </row>
    <row r="16" customFormat="false" ht="15" hidden="false" customHeight="true" outlineLevel="0" collapsed="false">
      <c r="A16" s="30" t="s">
        <v>91</v>
      </c>
      <c r="B16" s="31" t="n">
        <f aca="false">Transaction!B20</f>
        <v>18005.75</v>
      </c>
      <c r="C16" s="30"/>
      <c r="D16" s="30"/>
      <c r="E16" s="30"/>
      <c r="F16" s="30"/>
      <c r="G16" s="30"/>
    </row>
    <row r="17" customFormat="false" ht="15" hidden="false" customHeight="true" outlineLevel="0" collapsed="false">
      <c r="A17" s="30" t="s">
        <v>92</v>
      </c>
      <c r="B17" s="49" t="n">
        <f aca="false">G6</f>
        <v>38762.9950045914</v>
      </c>
      <c r="C17" s="41"/>
      <c r="D17" s="41"/>
      <c r="E17" s="41"/>
      <c r="F17" s="41"/>
      <c r="G17" s="41"/>
    </row>
    <row r="18" customFormat="false" ht="15" hidden="false" customHeight="true" outlineLevel="0" collapsed="false">
      <c r="A18" s="36" t="s">
        <v>93</v>
      </c>
      <c r="B18" s="39" t="n">
        <f aca="false">B17-B16</f>
        <v>20757.2450045914</v>
      </c>
      <c r="C18" s="41"/>
      <c r="D18" s="41"/>
      <c r="E18" s="41"/>
      <c r="F18" s="41"/>
      <c r="G18" s="41"/>
    </row>
    <row r="19" customFormat="false" ht="15" hidden="false" customHeight="true" outlineLevel="0" collapsed="false">
      <c r="A19" s="30" t="s">
        <v>94</v>
      </c>
      <c r="B19" s="49" t="n">
        <f aca="false">(G4-Transaction!B5)*B5</f>
        <v>15549.8652549962</v>
      </c>
      <c r="C19" s="41"/>
      <c r="D19" s="41"/>
      <c r="E19" s="41"/>
      <c r="F19" s="41"/>
      <c r="G19" s="41"/>
    </row>
    <row r="20" customFormat="false" ht="15" hidden="false" customHeight="true" outlineLevel="0" collapsed="false">
      <c r="A20" s="30" t="s">
        <v>95</v>
      </c>
      <c r="B20" s="49" t="n">
        <f aca="false">B18-B19</f>
        <v>5207.37974959517</v>
      </c>
      <c r="C20" s="41"/>
      <c r="D20" s="41"/>
      <c r="E20" s="41"/>
      <c r="F20" s="41"/>
      <c r="G20" s="41"/>
    </row>
    <row r="21" customFormat="false" ht="15" hidden="false" customHeight="true" outlineLevel="0" collapsed="false">
      <c r="A21" s="30" t="s">
        <v>96</v>
      </c>
      <c r="B21" s="31" t="n">
        <f aca="false">Transaction!B27-'Debt Schedule'!G15</f>
        <v>3872</v>
      </c>
      <c r="C21" s="41"/>
      <c r="D21" s="41"/>
      <c r="E21" s="41"/>
      <c r="F21" s="41"/>
      <c r="G21" s="41"/>
    </row>
    <row r="22" customFormat="false" ht="15" hidden="false" customHeight="true" outlineLevel="0" collapsed="false">
      <c r="A22" s="30"/>
      <c r="B22" s="50"/>
      <c r="C22" s="41"/>
      <c r="D22" s="41"/>
      <c r="E22" s="41"/>
      <c r="F22" s="41"/>
      <c r="G22" s="41"/>
    </row>
    <row r="23" customFormat="false" ht="15" hidden="false" customHeight="false" outlineLevel="0" collapsed="false">
      <c r="A23" s="51" t="s">
        <v>97</v>
      </c>
      <c r="B23" s="52" t="n">
        <f aca="false">G12</f>
        <v>3.67541971100577</v>
      </c>
      <c r="C23" s="41"/>
      <c r="D23" s="41"/>
      <c r="E23" s="41"/>
      <c r="F23" s="41"/>
      <c r="G23" s="41"/>
    </row>
    <row r="24" customFormat="false" ht="15" hidden="false" customHeight="false" outlineLevel="0" collapsed="false">
      <c r="A24" s="51" t="s">
        <v>98</v>
      </c>
      <c r="B24" s="53" t="n">
        <f aca="false">G13</f>
        <v>0.297362641706623</v>
      </c>
      <c r="C24" s="41"/>
      <c r="D24" s="41"/>
      <c r="E24" s="41"/>
      <c r="F24" s="41"/>
      <c r="G24" s="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6"/>
  </cols>
  <sheetData>
    <row r="1" customFormat="false" ht="15" hidden="false" customHeight="true" outlineLevel="0" collapsed="false">
      <c r="A1" s="2" t="s">
        <v>99</v>
      </c>
      <c r="B1" s="54"/>
      <c r="C1" s="54"/>
      <c r="D1" s="54"/>
      <c r="E1" s="54"/>
      <c r="F1" s="54"/>
      <c r="G1" s="54"/>
    </row>
    <row r="3" customFormat="false" ht="15" hidden="false" customHeight="true" outlineLevel="0" collapsed="false">
      <c r="A3" s="4" t="s">
        <v>100</v>
      </c>
      <c r="B3" s="5"/>
      <c r="C3" s="5"/>
      <c r="D3" s="5"/>
      <c r="E3" s="5"/>
      <c r="F3" s="5"/>
      <c r="G3" s="5"/>
    </row>
    <row r="4" customFormat="false" ht="15" hidden="false" customHeight="true" outlineLevel="0" collapsed="false">
      <c r="A4" s="15" t="s">
        <v>101</v>
      </c>
      <c r="B4" s="55" t="n">
        <v>0.15</v>
      </c>
      <c r="C4" s="55" t="n">
        <v>0.16</v>
      </c>
      <c r="D4" s="55" t="n">
        <v>0.17</v>
      </c>
      <c r="E4" s="55" t="n">
        <v>0.18</v>
      </c>
      <c r="F4" s="55" t="n">
        <v>0.19</v>
      </c>
    </row>
    <row r="5" customFormat="false" ht="15" hidden="false" customHeight="true" outlineLevel="0" collapsed="false">
      <c r="A5" s="56" t="n">
        <v>11</v>
      </c>
      <c r="B5" s="9" t="n">
        <f aca="false">IFERROR(((Transaction!B4*(1.03)^5*B$4*$A$5-'Debt Schedule'!G15)/Transaction!B28)^(1/5)-1,0)</f>
        <v>0.211368720025817</v>
      </c>
      <c r="C5" s="9" t="n">
        <f aca="false">IFERROR(((Transaction!B4*(1.03)^5*C$4*$A$5-'Debt Schedule'!G15)/Transaction!B28)^(1/5)-1,0)</f>
        <v>0.230237936359706</v>
      </c>
      <c r="D5" s="9" t="n">
        <f aca="false">IFERROR(((Transaction!B4*(1.03)^5*D$4*$A$5-'Debt Schedule'!G15)/Transaction!B28)^(1/5)-1,0)</f>
        <v>0.248015847499657</v>
      </c>
      <c r="E5" s="9" t="n">
        <f aca="false">IFERROR(((Transaction!B4*(1.03)^5*E$4*$A$5-'Debt Schedule'!G15)/Transaction!B28)^(1/5)-1,0)</f>
        <v>0.264834949973876</v>
      </c>
      <c r="F5" s="9" t="n">
        <f aca="false">IFERROR(((Transaction!B4*(1.03)^5*F$4*$A$5-'Debt Schedule'!G15)/Transaction!B28)^(1/5)-1,0)</f>
        <v>0.280804288651053</v>
      </c>
    </row>
    <row r="6" customFormat="false" ht="15" hidden="false" customHeight="true" outlineLevel="0" collapsed="false">
      <c r="A6" s="56" t="n">
        <v>12</v>
      </c>
      <c r="B6" s="9" t="n">
        <f aca="false">IFERROR(((Transaction!B4*(1.03)^5*B$4*$A$6-'Debt Schedule'!G15)/Transaction!B28)^(1/5)-1,0)</f>
        <v>0.236821352572316</v>
      </c>
      <c r="C6" s="9" t="n">
        <f aca="false">IFERROR(((Transaction!B4*(1.03)^5*C$4*$A$6-'Debt Schedule'!G15)/Transaction!B28)^(1/5)-1,0)</f>
        <v>0.255772724581359</v>
      </c>
      <c r="D6" s="9" t="n">
        <f aca="false">IFERROR(((Transaction!B4*(1.03)^5*D$4*$A$6-'Debt Schedule'!G15)/Transaction!B28)^(1/5)-1,0)</f>
        <v>0.273644666227316</v>
      </c>
      <c r="E6" s="9" t="n">
        <f aca="false">IFERROR(((Transaction!B4*(1.03)^5*E$4*$A$6-'Debt Schedule'!G15)/Transaction!B28)^(1/5)-1,0)</f>
        <v>0.290566374787361</v>
      </c>
      <c r="F6" s="9" t="n">
        <f aca="false">IFERROR(((Transaction!B4*(1.03)^5*F$4*$A$6-'Debt Schedule'!G15)/Transaction!B28)^(1/5)-1,0)</f>
        <v>0.306644483986616</v>
      </c>
    </row>
    <row r="7" customFormat="false" ht="15" hidden="false" customHeight="true" outlineLevel="0" collapsed="false">
      <c r="A7" s="56" t="n">
        <v>13</v>
      </c>
      <c r="B7" s="9" t="n">
        <f aca="false">IFERROR(((Transaction!B4*(1.03)^5*B$4*$A$7-'Debt Schedule'!G15)/Transaction!B28)^(1/5)-1,0)</f>
        <v>0.26033641680788</v>
      </c>
      <c r="C7" s="9" t="n">
        <f aca="false">IFERROR(((Transaction!B4*(1.03)^5*C$4*$A$7-'Debt Schedule'!G15)/Transaction!B28)^(1/5)-1,0)</f>
        <v>0.279385142300045</v>
      </c>
      <c r="D7" s="9" t="n">
        <f aca="false">IFERROR(((Transaction!B4*(1.03)^5*D$4*$A$7-'Debt Schedule'!G15)/Transaction!B28)^(1/5)-1,0)</f>
        <v>0.297362641706623</v>
      </c>
      <c r="E7" s="9" t="n">
        <f aca="false">IFERROR(((Transaction!B4*(1.03)^5*E$4*$A$7-'Debt Schedule'!G15)/Transaction!B28)^(1/5)-1,0)</f>
        <v>0.31439561092573</v>
      </c>
      <c r="F7" s="9" t="n">
        <f aca="false">IFERROR(((Transaction!B4*(1.03)^5*F$4*$A$7-'Debt Schedule'!G15)/Transaction!B28)^(1/5)-1,0)</f>
        <v>0.330588865386366</v>
      </c>
    </row>
    <row r="8" customFormat="false" ht="15" hidden="false" customHeight="true" outlineLevel="0" collapsed="false">
      <c r="A8" s="56" t="n">
        <v>14</v>
      </c>
      <c r="B8" s="9" t="n">
        <f aca="false">IFERROR(((Transaction!B4*(1.03)^5*B$4*$A$8-'Debt Schedule'!G15)/Transaction!B28)^(1/5)-1,0)</f>
        <v>0.282217173012372</v>
      </c>
      <c r="C8" s="9" t="n">
        <f aca="false">IFERROR(((Transaction!B4*(1.03)^5*C$4*$A$8-'Debt Schedule'!G15)/Transaction!B28)^(1/5)-1,0)</f>
        <v>0.301373031690829</v>
      </c>
      <c r="D8" s="9" t="n">
        <f aca="false">IFERROR(((Transaction!B4*(1.03)^5*D$4*$A$8-'Debt Schedule'!G15)/Transaction!B28)^(1/5)-1,0)</f>
        <v>0.31946321476611</v>
      </c>
      <c r="E8" s="9" t="n">
        <f aca="false">IFERROR(((Transaction!B4*(1.03)^5*E$4*$A$8-'Debt Schedule'!G15)/Transaction!B28)^(1/5)-1,0)</f>
        <v>0.33661249433698</v>
      </c>
      <c r="F8" s="9" t="n">
        <f aca="false">IFERROR(((Transaction!B4*(1.03)^5*F$4*$A$8-'Debt Schedule'!G15)/Transaction!B28)^(1/5)-1,0)</f>
        <v>0.352924297862401</v>
      </c>
    </row>
    <row r="9" customFormat="false" ht="15" hidden="false" customHeight="true" outlineLevel="0" collapsed="false">
      <c r="A9" s="56" t="n">
        <v>15</v>
      </c>
      <c r="B9" s="9" t="n">
        <f aca="false">IFERROR(((Transaction!B4*(1.03)^5*B$4*$A$9-'Debt Schedule'!G15)/Transaction!B28)^(1/5)-1,0)</f>
        <v>0.302698910151447</v>
      </c>
      <c r="C9" s="9" t="n">
        <f aca="false">IFERROR(((Transaction!B4*(1.03)^5*C$4*$A$9-'Debt Schedule'!G15)/Transaction!B28)^(1/5)-1,0)</f>
        <v>0.321968099692083</v>
      </c>
      <c r="D9" s="9" t="n">
        <f aca="false">IFERROR(((Transaction!B4*(1.03)^5*D$4*$A$9-'Debt Schedule'!G15)/Transaction!B28)^(1/5)-1,0)</f>
        <v>0.340175199321329</v>
      </c>
      <c r="E9" s="9" t="n">
        <f aca="false">IFERROR(((Transaction!B4*(1.03)^5*E$4*$A$9-'Debt Schedule'!G15)/Transaction!B28)^(1/5)-1,0)</f>
        <v>0.357443487053112</v>
      </c>
      <c r="F9" s="9" t="n">
        <f aca="false">IFERROR(((Transaction!B4*(1.03)^5*F$4*$A$9-'Debt Schedule'!G15)/Transaction!B28)^(1/5)-1,0)</f>
        <v>0.373875323127893</v>
      </c>
    </row>
    <row r="12" customFormat="false" ht="15" hidden="false" customHeight="true" outlineLevel="0" collapsed="false">
      <c r="A12" s="4" t="s">
        <v>102</v>
      </c>
      <c r="B12" s="5"/>
      <c r="C12" s="5"/>
      <c r="D12" s="5"/>
      <c r="E12" s="5"/>
      <c r="F12" s="5"/>
      <c r="G12" s="5"/>
    </row>
    <row r="13" customFormat="false" ht="15" hidden="false" customHeight="true" outlineLevel="0" collapsed="false">
      <c r="A13" s="15" t="s">
        <v>103</v>
      </c>
      <c r="B13" s="57" t="n">
        <v>11</v>
      </c>
      <c r="C13" s="57" t="n">
        <v>12</v>
      </c>
      <c r="D13" s="57" t="n">
        <v>13</v>
      </c>
      <c r="E13" s="57" t="n">
        <v>14</v>
      </c>
      <c r="F13" s="57" t="n">
        <v>15</v>
      </c>
    </row>
    <row r="14" customFormat="false" ht="15" hidden="false" customHeight="true" outlineLevel="0" collapsed="false">
      <c r="A14" s="58" t="n">
        <v>0.1</v>
      </c>
      <c r="B14" s="9" t="n">
        <f aca="false">IFERROR(((Transaction!B4*(1.03)^5*0.17*B$13-'Debt Schedule'!G15)/(Transaction!B7*(1+$A$14)*Transaction!B8+Transaction!B10-Transaction!B11+Transaction!B19-Transaction!B27))^(1/5)-1,0)</f>
        <v>0.263494929199777</v>
      </c>
      <c r="C14" s="9" t="n">
        <f aca="false">IFERROR(((Transaction!B4*(1.03)^5*0.17*C$13-'Debt Schedule'!G15)/(Transaction!B7*(1+$A$14)*Transaction!B8+Transaction!B10-Transaction!B11+Transaction!B19-Transaction!B27))^(1/5)-1,0)</f>
        <v>0.289441620957462</v>
      </c>
      <c r="D14" s="9" t="n">
        <f aca="false">IFERROR(((Transaction!B4*(1.03)^5*0.17*D$13-'Debt Schedule'!G15)/(Transaction!B7*(1+$A$14)*Transaction!B8+Transaction!B10-Transaction!B11+Transaction!B19-Transaction!B27))^(1/5)-1,0)</f>
        <v>0.313453769368099</v>
      </c>
      <c r="E14" s="9" t="n">
        <f aca="false">IFERROR(((Transaction!B4*(1.03)^5*0.17*E$13-'Debt Schedule'!G15)/(Transaction!B7*(1+$A$14)*Transaction!B8+Transaction!B10-Transaction!B11+Transaction!B19-Transaction!B27))^(1/5)-1,0)</f>
        <v>0.335828454792979</v>
      </c>
      <c r="F14" s="9" t="n">
        <f aca="false">IFERROR(((Transaction!B4*(1.03)^5*0.17*F$13-'Debt Schedule'!G15)/(Transaction!B7*(1+$A$14)*Transaction!B8+Transaction!B10-Transaction!B11+Transaction!B19-Transaction!B27))^(1/5)-1,0)</f>
        <v>0.35679732911586</v>
      </c>
    </row>
    <row r="15" customFormat="false" ht="15" hidden="false" customHeight="true" outlineLevel="0" collapsed="false">
      <c r="A15" s="58" t="n">
        <v>0.15</v>
      </c>
      <c r="B15" s="9" t="n">
        <f aca="false">IFERROR(((Transaction!B4*(1.03)^5*0.17*B$13-'Debt Schedule'!G15)/(Transaction!B7*(1+$A$15)*Transaction!B8+Transaction!B10-Transaction!B11+Transaction!B19-Transaction!B27))^(1/5)-1,0)</f>
        <v>0.248015847499657</v>
      </c>
      <c r="C15" s="9" t="n">
        <f aca="false">IFERROR(((Transaction!B4*(1.03)^5*0.17*C$13-'Debt Schedule'!G15)/(Transaction!B7*(1+$A$15)*Transaction!B8+Transaction!B10-Transaction!B11+Transaction!B19-Transaction!B27))^(1/5)-1,0)</f>
        <v>0.273644666227316</v>
      </c>
      <c r="D15" s="59" t="n">
        <f aca="false">IFERROR(((Transaction!B4*(1.03)^5*0.17*D$13-'Debt Schedule'!G15)/(Transaction!B7*(1+$A$15)*Transaction!B8+Transaction!B10-Transaction!B11+Transaction!B19-Transaction!B27))^(1/5)-1,0)</f>
        <v>0.297362641706623</v>
      </c>
      <c r="E15" s="9" t="n">
        <f aca="false">IFERROR(((Transaction!B4*(1.03)^5*0.17*E$13-'Debt Schedule'!G15)/(Transaction!B7*(1+$A$15)*Transaction!B8+Transaction!B10-Transaction!B11+Transaction!B19-Transaction!B27))^(1/5)-1,0)</f>
        <v>0.31946321476611</v>
      </c>
      <c r="F15" s="9" t="n">
        <f aca="false">IFERROR(((Transaction!B4*(1.03)^5*0.17*F$13-'Debt Schedule'!G15)/(Transaction!B7*(1+$A$15)*Transaction!B8+Transaction!B10-Transaction!B11+Transaction!B19-Transaction!B27))^(1/5)-1,0)</f>
        <v>0.340175199321329</v>
      </c>
    </row>
    <row r="16" customFormat="false" ht="15" hidden="false" customHeight="true" outlineLevel="0" collapsed="false">
      <c r="A16" s="58" t="n">
        <v>0.2</v>
      </c>
      <c r="B16" s="9" t="n">
        <f aca="false">IFERROR(((Transaction!B4*(1.03)^5*0.17*B$13-'Debt Schedule'!G15)/(Transaction!B7*(1+$A$16)*Transaction!B8+Transaction!B10-Transaction!B11+Transaction!B19-Transaction!B27))^(1/5)-1,0)</f>
        <v>0.233609136138037</v>
      </c>
      <c r="C16" s="9" t="n">
        <f aca="false">IFERROR(((Transaction!B4*(1.03)^5*0.17*C$13-'Debt Schedule'!G15)/(Transaction!B7*(1+$A$16)*Transaction!B8+Transaction!B10-Transaction!B11+Transaction!B19-Transaction!B27))^(1/5)-1,0)</f>
        <v>0.258942103659409</v>
      </c>
      <c r="D16" s="9" t="n">
        <f aca="false">IFERROR(((Transaction!B4*(1.03)^5*0.17*D$13-'Debt Schedule'!G15)/(Transaction!B7*(1+$A$16)*Transaction!B8+Transaction!B10-Transaction!B11+Transaction!B19-Transaction!B27))^(1/5)-1,0)</f>
        <v>0.282386286119583</v>
      </c>
      <c r="E16" s="9" t="n">
        <f aca="false">IFERROR(((Transaction!B4*(1.03)^5*0.17*E$13-'Debt Schedule'!G15)/(Transaction!B7*(1+$A$16)*Transaction!B8+Transaction!B10-Transaction!B11+Transaction!B19-Transaction!B27))^(1/5)-1,0)</f>
        <v>0.304231736956357</v>
      </c>
      <c r="F16" s="9" t="n">
        <f aca="false">IFERROR(((Transaction!B4*(1.03)^5*0.17*F$13-'Debt Schedule'!G15)/(Transaction!B7*(1+$A$16)*Transaction!B8+Transaction!B10-Transaction!B11+Transaction!B19-Transaction!B27))^(1/5)-1,0)</f>
        <v>0.32470462872777</v>
      </c>
    </row>
    <row r="17" customFormat="false" ht="15" hidden="false" customHeight="true" outlineLevel="0" collapsed="false">
      <c r="A17" s="58" t="n">
        <v>0.25</v>
      </c>
      <c r="B17" s="9" t="n">
        <f aca="false">IFERROR(((Transaction!B4*(1.03)^5*0.17*B$13-'Debt Schedule'!G15)/(Transaction!B7*(1+$A$17)*Transaction!B8+Transaction!B10-Transaction!B11+Transaction!B19-Transaction!B27))^(1/5)-1,0)</f>
        <v>0.220146000935954</v>
      </c>
      <c r="C17" s="9" t="n">
        <f aca="false">IFERROR(((Transaction!B4*(1.03)^5*0.17*C$13-'Debt Schedule'!G15)/(Transaction!B7*(1+$A$17)*Transaction!B8+Transaction!B10-Transaction!B11+Transaction!B19-Transaction!B27))^(1/5)-1,0)</f>
        <v>0.245202494202379</v>
      </c>
      <c r="D17" s="9" t="n">
        <f aca="false">IFERROR(((Transaction!B4*(1.03)^5*0.17*D$13-'Debt Schedule'!G15)/(Transaction!B7*(1+$A$17)*Transaction!B8+Transaction!B10-Transaction!B11+Transaction!B19-Transaction!B27))^(1/5)-1,0)</f>
        <v>0.268390815880627</v>
      </c>
      <c r="E17" s="9" t="n">
        <f aca="false">IFERROR(((Transaction!B4*(1.03)^5*0.17*E$13-'Debt Schedule'!G15)/(Transaction!B7*(1+$A$17)*Transaction!B8+Transaction!B10-Transaction!B11+Transaction!B19-Transaction!B27))^(1/5)-1,0)</f>
        <v>0.28999785387694</v>
      </c>
      <c r="F17" s="9" t="n">
        <f aca="false">IFERROR(((Transaction!B4*(1.03)^5*0.17*F$13-'Debt Schedule'!G15)/(Transaction!B7*(1+$A$17)*Transaction!B8+Transaction!B10-Transaction!B11+Transaction!B19-Transaction!B27))^(1/5)-1,0)</f>
        <v>0.310247312389129</v>
      </c>
    </row>
    <row r="18" customFormat="false" ht="15" hidden="false" customHeight="true" outlineLevel="0" collapsed="false">
      <c r="A18" s="58" t="n">
        <v>0.3</v>
      </c>
      <c r="B18" s="9" t="n">
        <f aca="false">IFERROR(((Transaction!B4*(1.03)^5*0.17*B$13-'Debt Schedule'!G15)/(Transaction!B7*(1+$A$18)*Transaction!B8+Transaction!B10-Transaction!B11+Transaction!B19-Transaction!B27))^(1/5)-1,0)</f>
        <v>0.207518986412549</v>
      </c>
      <c r="C18" s="9" t="n">
        <f aca="false">IFERROR(((Transaction!B4*(1.03)^5*0.17*C$13-'Debt Schedule'!G15)/(Transaction!B7*(1+$A$18)*Transaction!B8+Transaction!B10-Transaction!B11+Transaction!B19-Transaction!B27))^(1/5)-1,0)</f>
        <v>0.232316175707041</v>
      </c>
      <c r="D18" s="9" t="n">
        <f aca="false">IFERROR(((Transaction!B4*(1.03)^5*0.17*D$13-'Debt Schedule'!G15)/(Transaction!B7*(1+$A$18)*Transaction!B8+Transaction!B10-Transaction!B11+Transaction!B19-Transaction!B27))^(1/5)-1,0)</f>
        <v>0.255264526697864</v>
      </c>
      <c r="E18" s="9" t="n">
        <f aca="false">IFERROR(((Transaction!B4*(1.03)^5*0.17*E$13-'Debt Schedule'!G15)/(Transaction!B7*(1+$A$18)*Transaction!B8+Transaction!B10-Transaction!B11+Transaction!B19-Transaction!B27))^(1/5)-1,0)</f>
        <v>0.276647958353313</v>
      </c>
      <c r="F18" s="9" t="n">
        <f aca="false">IFERROR(((Transaction!B4*(1.03)^5*0.17*F$13-'Debt Schedule'!G15)/(Transaction!B7*(1+$A$18)*Transaction!B8+Transaction!B10-Transaction!B11+Transaction!B19-Transaction!B27))^(1/5)-1,0)</f>
        <v>0.296687859807143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2026-03-18T08:19:43Z</dcterms:created>
  <dc:creator>openpyxl</dc:creator>
  <dc:description/>
  <dc:language>en-US</dc:language>
  <cp:lastModifiedBy/>
  <dcterms:modified xsi:type="dcterms:W3CDTF">2026-03-18T08:26:11Z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