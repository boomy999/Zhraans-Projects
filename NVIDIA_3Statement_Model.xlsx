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raa\Desktop\all projects\"/>
    </mc:Choice>
  </mc:AlternateContent>
  <xr:revisionPtr revIDLastSave="0" documentId="13_ncr:1_{DF791CD2-9483-480D-B1F5-39FC87B9C202}" xr6:coauthVersionLast="47" xr6:coauthVersionMax="47" xr10:uidLastSave="{00000000-0000-0000-0000-000000000000}"/>
  <bookViews>
    <workbookView xWindow="11145" yWindow="0" windowWidth="17760" windowHeight="15585" tabRatio="500" firstSheet="2" activeTab="5" xr2:uid="{00000000-000D-0000-FFFF-FFFF00000000}"/>
  </bookViews>
  <sheets>
    <sheet name="Assumptions" sheetId="1" r:id="rId1"/>
    <sheet name="Income Statement" sheetId="2" r:id="rId2"/>
    <sheet name="Balance Sheet" sheetId="3" r:id="rId3"/>
    <sheet name="Cash Flow" sheetId="4" r:id="rId4"/>
    <sheet name="DCF Valuation" sheetId="5" r:id="rId5"/>
    <sheet name="Scenarios" sheetId="6" r:id="rId6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6" l="1"/>
  <c r="F4" i="1"/>
  <c r="F33" i="3"/>
  <c r="G33" i="3" s="1"/>
  <c r="H33" i="3" s="1"/>
  <c r="I33" i="3" s="1"/>
  <c r="E33" i="3"/>
  <c r="B37" i="5"/>
  <c r="B32" i="5"/>
  <c r="B19" i="5"/>
  <c r="G15" i="5"/>
  <c r="B13" i="5"/>
  <c r="F15" i="5" s="1"/>
  <c r="E33" i="4"/>
  <c r="I28" i="4"/>
  <c r="H28" i="4"/>
  <c r="G28" i="4"/>
  <c r="F28" i="4"/>
  <c r="E28" i="4"/>
  <c r="D28" i="4"/>
  <c r="C28" i="4"/>
  <c r="B28" i="4"/>
  <c r="D20" i="4"/>
  <c r="C20" i="4"/>
  <c r="B20" i="4"/>
  <c r="E6" i="4"/>
  <c r="F6" i="4" s="1"/>
  <c r="G6" i="4" s="1"/>
  <c r="H6" i="4" s="1"/>
  <c r="I6" i="4" s="1"/>
  <c r="D5" i="4"/>
  <c r="C5" i="4"/>
  <c r="B5" i="4"/>
  <c r="D37" i="3"/>
  <c r="C37" i="3"/>
  <c r="B37" i="3"/>
  <c r="D30" i="3"/>
  <c r="D39" i="3" s="1"/>
  <c r="G28" i="3"/>
  <c r="H28" i="3" s="1"/>
  <c r="I28" i="3" s="1"/>
  <c r="F28" i="3"/>
  <c r="E28" i="3"/>
  <c r="I27" i="3"/>
  <c r="H27" i="3"/>
  <c r="G27" i="3"/>
  <c r="F27" i="3"/>
  <c r="E27" i="3"/>
  <c r="D27" i="3"/>
  <c r="B31" i="5" s="1"/>
  <c r="C27" i="3"/>
  <c r="B27" i="3"/>
  <c r="D24" i="3"/>
  <c r="C24" i="3"/>
  <c r="C30" i="3" s="1"/>
  <c r="C39" i="3" s="1"/>
  <c r="B24" i="3"/>
  <c r="B30" i="3" s="1"/>
  <c r="B39" i="3" s="1"/>
  <c r="E21" i="3"/>
  <c r="F21" i="3" s="1"/>
  <c r="G21" i="3" s="1"/>
  <c r="H21" i="3" s="1"/>
  <c r="I21" i="3" s="1"/>
  <c r="F14" i="3"/>
  <c r="G14" i="3" s="1"/>
  <c r="H14" i="3" s="1"/>
  <c r="I14" i="3" s="1"/>
  <c r="E14" i="3"/>
  <c r="D10" i="3"/>
  <c r="D17" i="3" s="1"/>
  <c r="C10" i="3"/>
  <c r="C17" i="3" s="1"/>
  <c r="B10" i="3"/>
  <c r="B17" i="3" s="1"/>
  <c r="E8" i="3"/>
  <c r="F8" i="3" s="1"/>
  <c r="G8" i="3" s="1"/>
  <c r="H8" i="3" s="1"/>
  <c r="I8" i="3" s="1"/>
  <c r="I41" i="2"/>
  <c r="H41" i="2"/>
  <c r="G41" i="2"/>
  <c r="F41" i="2"/>
  <c r="E41" i="2"/>
  <c r="D41" i="2"/>
  <c r="C41" i="2"/>
  <c r="B41" i="2"/>
  <c r="I29" i="2"/>
  <c r="H29" i="2"/>
  <c r="G29" i="2"/>
  <c r="F29" i="2"/>
  <c r="E29" i="2"/>
  <c r="D29" i="2"/>
  <c r="C29" i="2"/>
  <c r="B29" i="2"/>
  <c r="I28" i="2"/>
  <c r="H28" i="2"/>
  <c r="G28" i="2"/>
  <c r="F28" i="2"/>
  <c r="E28" i="2"/>
  <c r="D28" i="2"/>
  <c r="C28" i="2"/>
  <c r="B28" i="2"/>
  <c r="E7" i="2"/>
  <c r="D7" i="2"/>
  <c r="C7" i="2"/>
  <c r="B7" i="2"/>
  <c r="D6" i="2"/>
  <c r="C6" i="2"/>
  <c r="B6" i="2"/>
  <c r="D5" i="2"/>
  <c r="D9" i="2" s="1"/>
  <c r="C5" i="2"/>
  <c r="C9" i="2" s="1"/>
  <c r="B5" i="2"/>
  <c r="D4" i="2"/>
  <c r="C4" i="2"/>
  <c r="B4" i="2"/>
  <c r="B9" i="2" s="1"/>
  <c r="D16" i="1"/>
  <c r="C16" i="1"/>
  <c r="C17" i="1" s="1"/>
  <c r="B16" i="1"/>
  <c r="D14" i="1"/>
  <c r="C14" i="1"/>
  <c r="F13" i="1"/>
  <c r="G13" i="1" s="1"/>
  <c r="H13" i="1" s="1"/>
  <c r="I13" i="1" s="1"/>
  <c r="I7" i="2" s="1"/>
  <c r="D11" i="1"/>
  <c r="C11" i="1"/>
  <c r="F10" i="1"/>
  <c r="F6" i="2" s="1"/>
  <c r="E6" i="2"/>
  <c r="D8" i="1"/>
  <c r="C8" i="1"/>
  <c r="E5" i="2"/>
  <c r="D5" i="1"/>
  <c r="C5" i="1"/>
  <c r="I15" i="5" l="1"/>
  <c r="H15" i="5"/>
  <c r="E15" i="5"/>
  <c r="F7" i="2"/>
  <c r="G7" i="2"/>
  <c r="G10" i="1"/>
  <c r="H10" i="1" s="1"/>
  <c r="I10" i="1" s="1"/>
  <c r="I6" i="2" s="1"/>
  <c r="H6" i="2"/>
  <c r="B18" i="2"/>
  <c r="B13" i="2"/>
  <c r="B19" i="2"/>
  <c r="B15" i="2"/>
  <c r="G4" i="1"/>
  <c r="F4" i="2"/>
  <c r="C19" i="2"/>
  <c r="C15" i="2"/>
  <c r="C10" i="2"/>
  <c r="C18" i="2"/>
  <c r="C13" i="2"/>
  <c r="D19" i="2"/>
  <c r="D10" i="2"/>
  <c r="D18" i="2"/>
  <c r="D22" i="2" s="1"/>
  <c r="D13" i="2"/>
  <c r="D15" i="2" s="1"/>
  <c r="B41" i="3"/>
  <c r="C41" i="3"/>
  <c r="D41" i="3"/>
  <c r="E16" i="1"/>
  <c r="E17" i="1" s="1"/>
  <c r="F7" i="1"/>
  <c r="F16" i="1" s="1"/>
  <c r="F17" i="1" s="1"/>
  <c r="E4" i="2"/>
  <c r="E9" i="2" s="1"/>
  <c r="D17" i="1"/>
  <c r="H7" i="2"/>
  <c r="G6" i="2"/>
  <c r="D16" i="2" l="1"/>
  <c r="D24" i="2"/>
  <c r="H4" i="1"/>
  <c r="G4" i="2"/>
  <c r="B22" i="2"/>
  <c r="G7" i="1"/>
  <c r="F5" i="2"/>
  <c r="F9" i="2" s="1"/>
  <c r="C24" i="2"/>
  <c r="C16" i="2"/>
  <c r="B24" i="2"/>
  <c r="B16" i="2"/>
  <c r="E19" i="2"/>
  <c r="E10" i="2"/>
  <c r="E17" i="4"/>
  <c r="E20" i="2"/>
  <c r="E5" i="4" s="1"/>
  <c r="E6" i="3"/>
  <c r="E18" i="2"/>
  <c r="E13" i="2"/>
  <c r="E15" i="2" s="1"/>
  <c r="E13" i="3"/>
  <c r="C22" i="2"/>
  <c r="E16" i="2" l="1"/>
  <c r="E22" i="2"/>
  <c r="E24" i="2" s="1"/>
  <c r="B37" i="2"/>
  <c r="B38" i="2" s="1"/>
  <c r="B31" i="2"/>
  <c r="B25" i="2"/>
  <c r="F19" i="2"/>
  <c r="F15" i="2"/>
  <c r="F17" i="4"/>
  <c r="F10" i="2"/>
  <c r="F20" i="2"/>
  <c r="F5" i="4" s="1"/>
  <c r="F6" i="3"/>
  <c r="F18" i="2"/>
  <c r="F13" i="2"/>
  <c r="E7" i="5"/>
  <c r="E20" i="4"/>
  <c r="H4" i="2"/>
  <c r="I4" i="1"/>
  <c r="D37" i="2"/>
  <c r="D38" i="2" s="1"/>
  <c r="D31" i="2"/>
  <c r="D25" i="2"/>
  <c r="E7" i="3"/>
  <c r="E20" i="3"/>
  <c r="E9" i="4"/>
  <c r="C37" i="2"/>
  <c r="C38" i="2" s="1"/>
  <c r="C31" i="2"/>
  <c r="C25" i="2"/>
  <c r="H7" i="1"/>
  <c r="G5" i="2"/>
  <c r="G16" i="1"/>
  <c r="G17" i="1" s="1"/>
  <c r="G9" i="2"/>
  <c r="F13" i="3" l="1"/>
  <c r="E37" i="2"/>
  <c r="E5" i="5"/>
  <c r="E31" i="2"/>
  <c r="E25" i="2"/>
  <c r="E10" i="4"/>
  <c r="F7" i="5"/>
  <c r="F20" i="4"/>
  <c r="F16" i="2"/>
  <c r="G13" i="3"/>
  <c r="D32" i="2"/>
  <c r="D34" i="2" s="1"/>
  <c r="I4" i="2"/>
  <c r="C32" i="2"/>
  <c r="C34" i="2" s="1"/>
  <c r="G17" i="4"/>
  <c r="G10" i="2"/>
  <c r="G20" i="2"/>
  <c r="G5" i="4" s="1"/>
  <c r="G6" i="3"/>
  <c r="G18" i="2"/>
  <c r="G13" i="2"/>
  <c r="G15" i="2" s="1"/>
  <c r="G19" i="2"/>
  <c r="I7" i="1"/>
  <c r="I5" i="2" s="1"/>
  <c r="H5" i="2"/>
  <c r="H9" i="2" s="1"/>
  <c r="H16" i="1"/>
  <c r="H17" i="1" s="1"/>
  <c r="B32" i="2"/>
  <c r="B34" i="2"/>
  <c r="F9" i="4"/>
  <c r="F7" i="3"/>
  <c r="F20" i="3"/>
  <c r="E11" i="4"/>
  <c r="E24" i="3"/>
  <c r="E30" i="3" s="1"/>
  <c r="F22" i="2"/>
  <c r="F24" i="2" s="1"/>
  <c r="E8" i="5" l="1"/>
  <c r="G22" i="2"/>
  <c r="D4" i="4"/>
  <c r="D14" i="4" s="1"/>
  <c r="D40" i="2"/>
  <c r="D35" i="2"/>
  <c r="G24" i="2"/>
  <c r="G16" i="2"/>
  <c r="C4" i="4"/>
  <c r="C14" i="4" s="1"/>
  <c r="C40" i="2"/>
  <c r="C35" i="2"/>
  <c r="B4" i="4"/>
  <c r="B14" i="4" s="1"/>
  <c r="B40" i="2"/>
  <c r="B35" i="2"/>
  <c r="I16" i="1"/>
  <c r="I17" i="1" s="1"/>
  <c r="I9" i="2"/>
  <c r="E32" i="2"/>
  <c r="E34" i="2"/>
  <c r="E34" i="3" s="1"/>
  <c r="F31" i="2"/>
  <c r="F25" i="2"/>
  <c r="F5" i="5"/>
  <c r="F37" i="2"/>
  <c r="H13" i="2"/>
  <c r="H6" i="3"/>
  <c r="H9" i="4" s="1"/>
  <c r="H18" i="2"/>
  <c r="H10" i="2"/>
  <c r="H20" i="2"/>
  <c r="H5" i="4" s="1"/>
  <c r="H17" i="4"/>
  <c r="H19" i="2"/>
  <c r="F10" i="4"/>
  <c r="H13" i="3"/>
  <c r="G7" i="5"/>
  <c r="G20" i="4"/>
  <c r="G9" i="4"/>
  <c r="F11" i="4"/>
  <c r="F8" i="5" s="1"/>
  <c r="F24" i="3"/>
  <c r="F30" i="3" s="1"/>
  <c r="G7" i="3"/>
  <c r="G10" i="4" s="1"/>
  <c r="G20" i="3"/>
  <c r="E4" i="5"/>
  <c r="E10" i="5" s="1"/>
  <c r="E16" i="5" s="1"/>
  <c r="E38" i="2"/>
  <c r="H20" i="3" l="1"/>
  <c r="H7" i="3"/>
  <c r="H10" i="4" s="1"/>
  <c r="F4" i="5"/>
  <c r="F10" i="5" s="1"/>
  <c r="F16" i="5" s="1"/>
  <c r="F38" i="2"/>
  <c r="H15" i="2"/>
  <c r="G11" i="4"/>
  <c r="G8" i="5" s="1"/>
  <c r="G24" i="3"/>
  <c r="G30" i="3" s="1"/>
  <c r="G31" i="2"/>
  <c r="G25" i="2"/>
  <c r="G5" i="5"/>
  <c r="G37" i="2"/>
  <c r="B31" i="4"/>
  <c r="B35" i="4" s="1"/>
  <c r="B37" i="4"/>
  <c r="B38" i="4" s="1"/>
  <c r="F32" i="2"/>
  <c r="F34" i="2" s="1"/>
  <c r="F34" i="3" s="1"/>
  <c r="E4" i="4"/>
  <c r="E14" i="4" s="1"/>
  <c r="E40" i="2"/>
  <c r="E35" i="2"/>
  <c r="C31" i="4"/>
  <c r="C35" i="4" s="1"/>
  <c r="C37" i="4"/>
  <c r="C38" i="4" s="1"/>
  <c r="H7" i="5"/>
  <c r="H20" i="4"/>
  <c r="I20" i="2"/>
  <c r="I5" i="4" s="1"/>
  <c r="I6" i="3"/>
  <c r="I9" i="4" s="1"/>
  <c r="I18" i="2"/>
  <c r="I13" i="2"/>
  <c r="I15" i="2" s="1"/>
  <c r="I19" i="2"/>
  <c r="I17" i="4"/>
  <c r="I10" i="2"/>
  <c r="H22" i="2"/>
  <c r="D31" i="4"/>
  <c r="D35" i="4" s="1"/>
  <c r="D37" i="4"/>
  <c r="D38" i="4" s="1"/>
  <c r="I13" i="3" l="1"/>
  <c r="F4" i="4"/>
  <c r="F14" i="4" s="1"/>
  <c r="F40" i="2"/>
  <c r="F35" i="2"/>
  <c r="I16" i="2"/>
  <c r="G32" i="2"/>
  <c r="G34" i="2"/>
  <c r="G34" i="3" s="1"/>
  <c r="I22" i="2"/>
  <c r="I24" i="2" s="1"/>
  <c r="H24" i="2"/>
  <c r="H16" i="2"/>
  <c r="E31" i="4"/>
  <c r="E35" i="4" s="1"/>
  <c r="E37" i="4"/>
  <c r="E38" i="4" s="1"/>
  <c r="E37" i="3"/>
  <c r="E39" i="3" s="1"/>
  <c r="I7" i="3"/>
  <c r="I10" i="4" s="1"/>
  <c r="I20" i="3"/>
  <c r="I7" i="5"/>
  <c r="I20" i="4"/>
  <c r="G38" i="2"/>
  <c r="G4" i="5"/>
  <c r="G10" i="5" s="1"/>
  <c r="G16" i="5" s="1"/>
  <c r="H11" i="4"/>
  <c r="H8" i="5" s="1"/>
  <c r="H24" i="3"/>
  <c r="H30" i="3" s="1"/>
  <c r="I31" i="2" l="1"/>
  <c r="I25" i="2"/>
  <c r="I5" i="5"/>
  <c r="I37" i="2"/>
  <c r="I24" i="3"/>
  <c r="I30" i="3" s="1"/>
  <c r="I11" i="4"/>
  <c r="I8" i="5" s="1"/>
  <c r="G40" i="2"/>
  <c r="G35" i="2"/>
  <c r="G4" i="4"/>
  <c r="G14" i="4" s="1"/>
  <c r="F37" i="3"/>
  <c r="F39" i="3" s="1"/>
  <c r="E4" i="3"/>
  <c r="E10" i="3" s="1"/>
  <c r="E15" i="3" s="1"/>
  <c r="F33" i="4"/>
  <c r="H31" i="2"/>
  <c r="H25" i="2"/>
  <c r="H5" i="5"/>
  <c r="H37" i="2"/>
  <c r="F37" i="4"/>
  <c r="F38" i="4" s="1"/>
  <c r="F31" i="4"/>
  <c r="E17" i="3" l="1"/>
  <c r="E41" i="3" s="1"/>
  <c r="G37" i="3"/>
  <c r="G39" i="3" s="1"/>
  <c r="G31" i="4"/>
  <c r="G37" i="4"/>
  <c r="G38" i="4" s="1"/>
  <c r="I4" i="5"/>
  <c r="I10" i="5" s="1"/>
  <c r="I38" i="2"/>
  <c r="B22" i="5"/>
  <c r="B23" i="5" s="1"/>
  <c r="F35" i="4"/>
  <c r="H4" i="5"/>
  <c r="H10" i="5" s="1"/>
  <c r="H16" i="5" s="1"/>
  <c r="H38" i="2"/>
  <c r="H32" i="2"/>
  <c r="H34" i="2" s="1"/>
  <c r="H34" i="3" s="1"/>
  <c r="I34" i="3" s="1"/>
  <c r="I32" i="2"/>
  <c r="I34" i="2" s="1"/>
  <c r="I4" i="4" l="1"/>
  <c r="I14" i="4" s="1"/>
  <c r="I40" i="2"/>
  <c r="I35" i="2"/>
  <c r="H4" i="4"/>
  <c r="H14" i="4" s="1"/>
  <c r="H40" i="2"/>
  <c r="H35" i="2"/>
  <c r="F4" i="3"/>
  <c r="F10" i="3" s="1"/>
  <c r="G33" i="4"/>
  <c r="G35" i="4" s="1"/>
  <c r="B20" i="5"/>
  <c r="B21" i="5" s="1"/>
  <c r="B27" i="5" s="1"/>
  <c r="I16" i="5"/>
  <c r="B26" i="5" s="1"/>
  <c r="F15" i="3" l="1"/>
  <c r="F17" i="3" s="1"/>
  <c r="F41" i="3" s="1"/>
  <c r="F18" i="6"/>
  <c r="D16" i="6"/>
  <c r="B14" i="6"/>
  <c r="E7" i="6"/>
  <c r="C5" i="6"/>
  <c r="E18" i="6"/>
  <c r="C16" i="6"/>
  <c r="F9" i="6"/>
  <c r="D7" i="6"/>
  <c r="B5" i="6"/>
  <c r="D18" i="6"/>
  <c r="B16" i="6"/>
  <c r="E9" i="6"/>
  <c r="C7" i="6"/>
  <c r="C18" i="6"/>
  <c r="F15" i="6"/>
  <c r="D9" i="6"/>
  <c r="B7" i="6"/>
  <c r="B18" i="6"/>
  <c r="E15" i="6"/>
  <c r="C9" i="6"/>
  <c r="F6" i="6"/>
  <c r="F17" i="6"/>
  <c r="D15" i="6"/>
  <c r="B9" i="6"/>
  <c r="E6" i="6"/>
  <c r="E17" i="6"/>
  <c r="C15" i="6"/>
  <c r="F8" i="6"/>
  <c r="D6" i="6"/>
  <c r="D17" i="6"/>
  <c r="B15" i="6"/>
  <c r="E8" i="6"/>
  <c r="C6" i="6"/>
  <c r="C17" i="6"/>
  <c r="F14" i="6"/>
  <c r="D8" i="6"/>
  <c r="B6" i="6"/>
  <c r="B17" i="6"/>
  <c r="E14" i="6"/>
  <c r="C8" i="6"/>
  <c r="B29" i="5"/>
  <c r="B35" i="5" s="1"/>
  <c r="B40" i="5" s="1"/>
  <c r="F16" i="6"/>
  <c r="D14" i="6"/>
  <c r="B8" i="6"/>
  <c r="E5" i="6"/>
  <c r="B28" i="5"/>
  <c r="B34" i="5" s="1"/>
  <c r="B39" i="5" s="1"/>
  <c r="E16" i="6"/>
  <c r="C14" i="6"/>
  <c r="F7" i="6"/>
  <c r="D5" i="6"/>
  <c r="G4" i="3"/>
  <c r="G10" i="3" s="1"/>
  <c r="H33" i="4"/>
  <c r="I37" i="3"/>
  <c r="I39" i="3" s="1"/>
  <c r="H37" i="3"/>
  <c r="H39" i="3" s="1"/>
  <c r="H37" i="4"/>
  <c r="H38" i="4" s="1"/>
  <c r="H31" i="4"/>
  <c r="I37" i="4"/>
  <c r="I38" i="4" s="1"/>
  <c r="I31" i="4"/>
  <c r="G15" i="3" l="1"/>
  <c r="G17" i="3" s="1"/>
  <c r="G41" i="3" s="1"/>
  <c r="H35" i="4"/>
  <c r="H4" i="3" l="1"/>
  <c r="H10" i="3" s="1"/>
  <c r="I33" i="4"/>
  <c r="I35" i="4" s="1"/>
  <c r="I4" i="3" s="1"/>
  <c r="I10" i="3" s="1"/>
  <c r="I15" i="3" l="1"/>
  <c r="I17" i="3" s="1"/>
  <c r="I41" i="3" s="1"/>
  <c r="H15" i="3"/>
  <c r="H17" i="3" s="1"/>
  <c r="H41" i="3" s="1"/>
</calcChain>
</file>

<file path=xl/sharedStrings.xml><?xml version="1.0" encoding="utf-8"?>
<sst xmlns="http://schemas.openxmlformats.org/spreadsheetml/2006/main" count="204" uniqueCount="159">
  <si>
    <t>NVIDIA Corporation — Key Assumptions &amp; Drivers ($mm)</t>
  </si>
  <si>
    <t>FY2023</t>
  </si>
  <si>
    <t>FY2024</t>
  </si>
  <si>
    <t>FY2025</t>
  </si>
  <si>
    <t>FY2026E</t>
  </si>
  <si>
    <t>FY2027E</t>
  </si>
  <si>
    <t>FY2028E</t>
  </si>
  <si>
    <t>FY2029E</t>
  </si>
  <si>
    <t>FY2030E</t>
  </si>
  <si>
    <t>Revenue Assumptions</t>
  </si>
  <si>
    <t>Data Center Revenue</t>
  </si>
  <si>
    <t xml:space="preserve">  Data Center YoY Growth</t>
  </si>
  <si>
    <t>Gaming Revenue</t>
  </si>
  <si>
    <t xml:space="preserve">  Gaming YoY Growth</t>
  </si>
  <si>
    <t>Pro Visualization Revenue</t>
  </si>
  <si>
    <t xml:space="preserve">  Pro Viz YoY Growth</t>
  </si>
  <si>
    <t>Automotive &amp; Other Revenue</t>
  </si>
  <si>
    <t xml:space="preserve">  Auto &amp; Other YoY Growth</t>
  </si>
  <si>
    <t>Total Revenue</t>
  </si>
  <si>
    <t xml:space="preserve">  Total Revenue Growth</t>
  </si>
  <si>
    <t>Margin &amp; Operating Assumptions</t>
  </si>
  <si>
    <t>Gross Margin %</t>
  </si>
  <si>
    <t>R&amp;D as % of Revenue</t>
  </si>
  <si>
    <t>SG&amp;A as % of Revenue</t>
  </si>
  <si>
    <t>D&amp;A ($mm historical / % Rev projected)</t>
  </si>
  <si>
    <t>Tax &amp; Other Assumptions</t>
  </si>
  <si>
    <t>Effective Tax Rate</t>
  </si>
  <si>
    <t>Interest Expense ($mm)</t>
  </si>
  <si>
    <t>Interest &amp; Investment Income ($mm)</t>
  </si>
  <si>
    <t>Working Capital Assumptions</t>
  </si>
  <si>
    <t>Days Sales Outstanding (DSO)</t>
  </si>
  <si>
    <t>Days Inventory Outstanding (DIO)</t>
  </si>
  <si>
    <t>Days Payable Outstanding (DPO)</t>
  </si>
  <si>
    <t>CapEx &amp; Debt Schedule</t>
  </si>
  <si>
    <t>CapEx as % of Revenue</t>
  </si>
  <si>
    <t>Long-Term Debt Balance ($mm)</t>
  </si>
  <si>
    <t>Shares &amp; Buyback Assumptions</t>
  </si>
  <si>
    <t>Diluted Shares Outstanding (mm)</t>
  </si>
  <si>
    <t>DCF Assumptions</t>
  </si>
  <si>
    <t>WACC</t>
  </si>
  <si>
    <t>Terminal Growth Rate</t>
  </si>
  <si>
    <t>Terminal EBITDA Multiple (alt)</t>
  </si>
  <si>
    <t>Source: NVIDIA 10-K FY2023-FY2025, SEC EDGAR. Projections are illustrative.</t>
  </si>
  <si>
    <t>NVIDIA Corporation — Income Statement ($mm)</t>
  </si>
  <si>
    <t>Revenue by Segment</t>
  </si>
  <si>
    <t>Data Center</t>
  </si>
  <si>
    <t>Gaming</t>
  </si>
  <si>
    <t>Professional Visualization</t>
  </si>
  <si>
    <t>Automotive &amp; Other</t>
  </si>
  <si>
    <t xml:space="preserve">  Revenue Growth %</t>
  </si>
  <si>
    <t>Cost Structure</t>
  </si>
  <si>
    <t>Cost of Revenue</t>
  </si>
  <si>
    <t>Gross Profit</t>
  </si>
  <si>
    <t xml:space="preserve">  Gross Margin %</t>
  </si>
  <si>
    <t>Research &amp; Development</t>
  </si>
  <si>
    <t>Selling, General &amp; Administrative</t>
  </si>
  <si>
    <t>Depreciation &amp; Amortization</t>
  </si>
  <si>
    <t>Total Operating Expenses</t>
  </si>
  <si>
    <t>Operating Income (EBIT)</t>
  </si>
  <si>
    <t xml:space="preserve">  Operating Margin %</t>
  </si>
  <si>
    <t>Below the Line</t>
  </si>
  <si>
    <t>Interest Expense</t>
  </si>
  <si>
    <t>Interest &amp; Investment Income</t>
  </si>
  <si>
    <t>Pretax Income (EBT)</t>
  </si>
  <si>
    <t>Income Tax Expense</t>
  </si>
  <si>
    <t>Net Income</t>
  </si>
  <si>
    <t xml:space="preserve">  Net Margin %</t>
  </si>
  <si>
    <t>EBITDA</t>
  </si>
  <si>
    <t xml:space="preserve">  EBITDA Margin %</t>
  </si>
  <si>
    <t>Diluted EPS</t>
  </si>
  <si>
    <t>Diluted Shares (mm)</t>
  </si>
  <si>
    <t>NVIDIA Corporation — Balance Sheet ($mm)</t>
  </si>
  <si>
    <t>Current Assets</t>
  </si>
  <si>
    <t>Cash &amp; Equivalents</t>
  </si>
  <si>
    <t>Short-Term Investments</t>
  </si>
  <si>
    <t>Accounts Receivable</t>
  </si>
  <si>
    <t>Inventory</t>
  </si>
  <si>
    <t>Other Current Assets</t>
  </si>
  <si>
    <t>Total Current Assets</t>
  </si>
  <si>
    <t>Non-Current Assets</t>
  </si>
  <si>
    <t>Net PP&amp;E</t>
  </si>
  <si>
    <t>Goodwill &amp; Intangibles</t>
  </si>
  <si>
    <t>Other Non-Current Assets</t>
  </si>
  <si>
    <t>TOTAL ASSETS</t>
  </si>
  <si>
    <t>Current Liabilities</t>
  </si>
  <si>
    <t>Accounts Payable</t>
  </si>
  <si>
    <t>Accrued &amp; Other Current Liabilities</t>
  </si>
  <si>
    <t>Short-Term Debt</t>
  </si>
  <si>
    <t>Total Current Liabilities</t>
  </si>
  <si>
    <t>Non-Current Liabilities</t>
  </si>
  <si>
    <t>Long-Term Debt</t>
  </si>
  <si>
    <t>Other LT Liabilities</t>
  </si>
  <si>
    <t>TOTAL LIABILITIES</t>
  </si>
  <si>
    <t>Shareholders' Equity</t>
  </si>
  <si>
    <t>Common Stock &amp; APIC</t>
  </si>
  <si>
    <t>Retained Earnings</t>
  </si>
  <si>
    <t>AOCI &amp; Other</t>
  </si>
  <si>
    <t>TOTAL SHAREHOLDERS' EQUITY</t>
  </si>
  <si>
    <t>TOTAL LIABILITIES &amp; EQUITY</t>
  </si>
  <si>
    <t>Balance Check (Assets - L&amp;E)</t>
  </si>
  <si>
    <t>NVIDIA Corporation — Cash Flow Statement ($mm)</t>
  </si>
  <si>
    <t>Cash Flow from Operations</t>
  </si>
  <si>
    <t>(+) Depreciation &amp; Amortization</t>
  </si>
  <si>
    <t>(+) Stock-Based Compensation</t>
  </si>
  <si>
    <t>Changes in Working Capital:</t>
  </si>
  <si>
    <t xml:space="preserve">  (Inc)/Dec in Accounts Receivable</t>
  </si>
  <si>
    <t xml:space="preserve">  (Inc)/Dec in Inventory</t>
  </si>
  <si>
    <t xml:space="preserve">  Inc/(Dec) in Accounts Payable</t>
  </si>
  <si>
    <t xml:space="preserve">  Other Working Capital Changes</t>
  </si>
  <si>
    <t>Cash from Operations (CFO)</t>
  </si>
  <si>
    <t>Cash Flow from Investing</t>
  </si>
  <si>
    <t>Capital Expenditures</t>
  </si>
  <si>
    <t>Acquisitions &amp; Other Investing</t>
  </si>
  <si>
    <t>Cash from Investing (CFI)</t>
  </si>
  <si>
    <t>Cash Flow from Financing</t>
  </si>
  <si>
    <t>Debt Issuance / (Repayment)</t>
  </si>
  <si>
    <t>Share Repurchases</t>
  </si>
  <si>
    <t>Dividends Paid</t>
  </si>
  <si>
    <t>Other Financing</t>
  </si>
  <si>
    <t>Cash from Financing (CFF)</t>
  </si>
  <si>
    <t>Cash Summary</t>
  </si>
  <si>
    <t>Net Change in Cash</t>
  </si>
  <si>
    <t>Beginning Cash Balance</t>
  </si>
  <si>
    <t>Ending Cash Balance</t>
  </si>
  <si>
    <t>Free Cash Flow (CFO - CapEx)</t>
  </si>
  <si>
    <t xml:space="preserve">  FCF Margin %</t>
  </si>
  <si>
    <t>NVIDIA Corporation — DCF Valuation ($mm)</t>
  </si>
  <si>
    <t>Unlevered Free Cash Flow Projection</t>
  </si>
  <si>
    <t>(-) Taxes on EBIT</t>
  </si>
  <si>
    <t>(+) D&amp;A (already in EBITDA)</t>
  </si>
  <si>
    <t>(-) CapEx</t>
  </si>
  <si>
    <t>(-) Change in NWC</t>
  </si>
  <si>
    <t>Unlevered Free Cash Flow (UFCF)</t>
  </si>
  <si>
    <t>Discounting</t>
  </si>
  <si>
    <t>Discount Period</t>
  </si>
  <si>
    <t>Discount Factor</t>
  </si>
  <si>
    <t>PV of UFCF</t>
  </si>
  <si>
    <t>Terminal Value</t>
  </si>
  <si>
    <t>Gordon Growth TV</t>
  </si>
  <si>
    <t>PV of Terminal Value</t>
  </si>
  <si>
    <t>Exit Multiple TV (alt)</t>
  </si>
  <si>
    <t>PV of Exit Multiple TV</t>
  </si>
  <si>
    <t>Enterprise &amp; Equity Value</t>
  </si>
  <si>
    <t>Sum of PV of UFCFs</t>
  </si>
  <si>
    <t>(+) PV of Terminal Value (Gordon Growth)</t>
  </si>
  <si>
    <t>Enterprise Value (Gordon Growth)</t>
  </si>
  <si>
    <t>Enterprise Value (Exit Multiple)</t>
  </si>
  <si>
    <t>(-) Total Debt (FY2025)</t>
  </si>
  <si>
    <t>(+) Cash &amp; ST Investments (FY2025)</t>
  </si>
  <si>
    <t>Equity Value (Gordon Growth)</t>
  </si>
  <si>
    <t>Equity Value (Exit Multiple)</t>
  </si>
  <si>
    <t>Diluted Shares (mm, FY2025)</t>
  </si>
  <si>
    <t>Implied Share Price (Gordon Growth)</t>
  </si>
  <si>
    <t>Implied Share Price (Exit Multiple)</t>
  </si>
  <si>
    <t>NVIDIA Corporation — Scenario / Sensitivity Analysis</t>
  </si>
  <si>
    <t>WACC vs Terminal Growth Rate — Implied Share Price</t>
  </si>
  <si>
    <t>WACC ↓  /  g →</t>
  </si>
  <si>
    <t>WACC vs Terminal EBITDA Multiple — Implied Share Price</t>
  </si>
  <si>
    <t>WACC ↓  /  Multiple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</si>
</sst>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"/>
    <numFmt numFmtId="166" formatCode="0.0\x"/>
    <numFmt numFmtId="167" formatCode="\$#,##0.00"/>
    <numFmt numFmtId="168" formatCode="0.0000"/>
  </numFmts>
  <fonts count="13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sz val="8"/>
      <color rgb="FF666666"/>
      <name val="Arial"/>
      <charset val="1"/>
    </font>
    <font>
      <sz val="10"/>
      <color rgb="FF008000"/>
      <name val="Arial"/>
      <charset val="1"/>
    </font>
    <font>
      <b/>
      <sz val="10"/>
      <color rgb="FFFF0000"/>
      <name val="Arial"/>
      <charset val="1"/>
    </font>
    <font>
      <sz val="10"/>
      <color rgb="FFFF0000"/>
      <name val="Arial"/>
      <charset val="1"/>
    </font>
    <font>
      <b/>
      <sz val="12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0" fillId="3" borderId="0" xfId="0" applyFill="1"/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6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4" fontId="6" fillId="3" borderId="1" xfId="0" applyNumberFormat="1" applyFont="1" applyFill="1" applyBorder="1"/>
    <xf numFmtId="165" fontId="5" fillId="4" borderId="0" xfId="0" applyNumberFormat="1" applyFont="1" applyFill="1" applyAlignment="1">
      <alignment horizontal="right" vertical="center"/>
    </xf>
    <xf numFmtId="0" fontId="4" fillId="0" borderId="0" xfId="0" applyFont="1"/>
    <xf numFmtId="165" fontId="5" fillId="4" borderId="0" xfId="0" applyNumberFormat="1" applyFont="1" applyFill="1"/>
    <xf numFmtId="3" fontId="5" fillId="0" borderId="0" xfId="0" applyNumberFormat="1" applyFont="1"/>
    <xf numFmtId="3" fontId="5" fillId="4" borderId="0" xfId="0" applyNumberFormat="1" applyFont="1" applyFill="1"/>
    <xf numFmtId="165" fontId="5" fillId="0" borderId="0" xfId="0" applyNumberFormat="1" applyFont="1"/>
    <xf numFmtId="164" fontId="5" fillId="4" borderId="0" xfId="0" applyNumberFormat="1" applyFont="1" applyFill="1"/>
    <xf numFmtId="0" fontId="7" fillId="0" borderId="0" xfId="0" applyFont="1"/>
    <xf numFmtId="166" fontId="5" fillId="4" borderId="0" xfId="0" applyNumberFormat="1" applyFont="1" applyFill="1"/>
    <xf numFmtId="0" fontId="8" fillId="0" borderId="0" xfId="0" applyFont="1"/>
    <xf numFmtId="164" fontId="9" fillId="0" borderId="0" xfId="0" applyNumberFormat="1" applyFont="1"/>
    <xf numFmtId="164" fontId="6" fillId="0" borderId="2" xfId="0" applyNumberFormat="1" applyFont="1" applyBorder="1"/>
    <xf numFmtId="165" fontId="4" fillId="0" borderId="0" xfId="0" applyNumberFormat="1" applyFont="1"/>
    <xf numFmtId="164" fontId="6" fillId="0" borderId="0" xfId="0" applyNumberFormat="1" applyFont="1"/>
    <xf numFmtId="164" fontId="6" fillId="0" borderId="1" xfId="0" applyNumberFormat="1" applyFont="1" applyBorder="1"/>
    <xf numFmtId="167" fontId="9" fillId="0" borderId="0" xfId="0" applyNumberFormat="1" applyFont="1"/>
    <xf numFmtId="0" fontId="10" fillId="0" borderId="0" xfId="0" applyFont="1"/>
    <xf numFmtId="164" fontId="11" fillId="0" borderId="0" xfId="0" applyNumberFormat="1" applyFont="1"/>
    <xf numFmtId="165" fontId="9" fillId="0" borderId="0" xfId="0" applyNumberFormat="1" applyFont="1"/>
    <xf numFmtId="168" fontId="4" fillId="0" borderId="0" xfId="0" applyNumberFormat="1" applyFont="1"/>
    <xf numFmtId="167" fontId="6" fillId="4" borderId="0" xfId="0" applyNumberFormat="1" applyFont="1" applyFill="1"/>
    <xf numFmtId="165" fontId="7" fillId="3" borderId="0" xfId="0" applyNumberFormat="1" applyFont="1" applyFill="1" applyAlignment="1">
      <alignment horizontal="center" vertical="center"/>
    </xf>
    <xf numFmtId="165" fontId="7" fillId="3" borderId="0" xfId="0" applyNumberFormat="1" applyFont="1" applyFill="1"/>
    <xf numFmtId="167" fontId="4" fillId="0" borderId="0" xfId="0" applyNumberFormat="1" applyFont="1"/>
    <xf numFmtId="166" fontId="7" fillId="3" borderId="0" xfId="0" applyNumberFormat="1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I47"/>
  <sheetViews>
    <sheetView zoomScale="77" zoomScaleNormal="77" workbookViewId="0">
      <selection sqref="A1:I17"/>
    </sheetView>
  </sheetViews>
  <sheetFormatPr defaultColWidth="8.7109375" defaultRowHeight="15" x14ac:dyDescent="0.25"/>
  <cols>
    <col min="1" max="1" width="65.28515625" bestFit="1" customWidth="1"/>
    <col min="2" max="9" width="16" customWidth="1"/>
  </cols>
  <sheetData>
    <row r="1" spans="1:9" ht="15.75" x14ac:dyDescent="0.25">
      <c r="A1" s="4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3" spans="1:9" x14ac:dyDescent="0.25">
      <c r="A3" s="3" t="s">
        <v>9</v>
      </c>
      <c r="B3" s="4"/>
      <c r="C3" s="4"/>
      <c r="D3" s="4"/>
      <c r="E3" s="4"/>
      <c r="F3" s="4"/>
      <c r="G3" s="4"/>
      <c r="H3" s="4"/>
      <c r="I3" s="4"/>
    </row>
    <row r="4" spans="1:9" x14ac:dyDescent="0.25">
      <c r="A4" s="5" t="s">
        <v>10</v>
      </c>
      <c r="B4" s="6">
        <v>15006</v>
      </c>
      <c r="C4" s="6">
        <v>47525</v>
      </c>
      <c r="D4" s="6">
        <v>115190</v>
      </c>
      <c r="E4" s="7">
        <v>192000</v>
      </c>
      <c r="F4" s="7">
        <f>E4*(1+F5)</f>
        <v>278400</v>
      </c>
      <c r="G4" s="7">
        <f>F4*(1+G5)</f>
        <v>375840</v>
      </c>
      <c r="H4" s="7">
        <f>G4*(1+H5)</f>
        <v>469800</v>
      </c>
      <c r="I4" s="7">
        <f>H4*(1+I5)</f>
        <v>554364</v>
      </c>
    </row>
    <row r="5" spans="1:9" x14ac:dyDescent="0.25">
      <c r="A5" s="5" t="s">
        <v>11</v>
      </c>
      <c r="B5" s="8"/>
      <c r="C5" s="8">
        <f>(C4-B4)/B4</f>
        <v>2.1670665067306412</v>
      </c>
      <c r="D5" s="8">
        <f>(D4-C4)/C4</f>
        <v>1.4237769594950027</v>
      </c>
      <c r="E5" s="9">
        <v>0.66700000000000004</v>
      </c>
      <c r="F5" s="39">
        <v>0.45</v>
      </c>
      <c r="G5" s="39">
        <v>0.35</v>
      </c>
      <c r="H5" s="39">
        <v>0.25</v>
      </c>
      <c r="I5" s="39">
        <v>0.18</v>
      </c>
    </row>
    <row r="7" spans="1:9" x14ac:dyDescent="0.25">
      <c r="A7" s="10" t="s">
        <v>12</v>
      </c>
      <c r="B7" s="11">
        <v>10325</v>
      </c>
      <c r="C7" s="11">
        <v>10445</v>
      </c>
      <c r="D7" s="11">
        <v>11350</v>
      </c>
      <c r="E7" s="12">
        <v>16000</v>
      </c>
      <c r="F7" s="12">
        <f>E7*(1+F8)</f>
        <v>19200</v>
      </c>
      <c r="G7" s="12">
        <f>F7*(1+G8)</f>
        <v>22080</v>
      </c>
      <c r="H7" s="12">
        <f>G7*(1+H8)</f>
        <v>24729.600000000002</v>
      </c>
      <c r="I7" s="12">
        <f>H7*(1+I8)</f>
        <v>27202.560000000005</v>
      </c>
    </row>
    <row r="8" spans="1:9" x14ac:dyDescent="0.25">
      <c r="A8" s="5" t="s">
        <v>13</v>
      </c>
      <c r="B8" s="8"/>
      <c r="C8" s="8">
        <f>(C7-B7)/B7</f>
        <v>1.1622276029055689E-2</v>
      </c>
      <c r="D8" s="8">
        <f>(D7-C7)/C7</f>
        <v>8.6644327429392057E-2</v>
      </c>
      <c r="E8" s="9">
        <v>0.08</v>
      </c>
      <c r="F8" s="39">
        <v>0.2</v>
      </c>
      <c r="G8" s="39">
        <v>0.15</v>
      </c>
      <c r="H8" s="39">
        <v>0.12</v>
      </c>
      <c r="I8" s="39">
        <v>0.1</v>
      </c>
    </row>
    <row r="10" spans="1:9" x14ac:dyDescent="0.25">
      <c r="A10" s="10" t="s">
        <v>14</v>
      </c>
      <c r="B10" s="11">
        <v>1544</v>
      </c>
      <c r="C10" s="11">
        <v>1553</v>
      </c>
      <c r="D10" s="11">
        <v>1690</v>
      </c>
      <c r="E10" s="12">
        <v>3200</v>
      </c>
      <c r="F10" s="12">
        <f>E10*(1+F11)</f>
        <v>3840</v>
      </c>
      <c r="G10" s="12">
        <f>F10*(1+G11)</f>
        <v>4608</v>
      </c>
      <c r="H10" s="12">
        <f>G10*(1+H11)</f>
        <v>5529.5999999999995</v>
      </c>
      <c r="I10" s="12">
        <f>H10*(1+I11)</f>
        <v>6635.5199999999995</v>
      </c>
    </row>
    <row r="11" spans="1:9" x14ac:dyDescent="0.25">
      <c r="A11" s="5" t="s">
        <v>15</v>
      </c>
      <c r="B11" s="8"/>
      <c r="C11" s="8">
        <f>(C10-B10)/B10</f>
        <v>5.8290155440414507E-3</v>
      </c>
      <c r="D11" s="8">
        <f>(D10-C10)/C10</f>
        <v>8.8216355441081779E-2</v>
      </c>
      <c r="E11" s="9">
        <v>0.1</v>
      </c>
      <c r="F11" s="39">
        <v>0.2</v>
      </c>
      <c r="G11" s="39">
        <v>0.2</v>
      </c>
      <c r="H11" s="39">
        <v>0.2</v>
      </c>
      <c r="I11" s="39">
        <v>0.2</v>
      </c>
    </row>
    <row r="13" spans="1:9" x14ac:dyDescent="0.25">
      <c r="A13" s="10" t="s">
        <v>16</v>
      </c>
      <c r="B13" s="11">
        <v>1099</v>
      </c>
      <c r="C13" s="11">
        <v>1399</v>
      </c>
      <c r="D13" s="11">
        <v>2267</v>
      </c>
      <c r="E13" s="12">
        <v>2300</v>
      </c>
      <c r="F13" s="12">
        <f>E13*(1+F14)</f>
        <v>2530</v>
      </c>
      <c r="G13" s="12">
        <f>F13*(1+G14)</f>
        <v>2783</v>
      </c>
      <c r="H13" s="12">
        <f>G13*(1+H14)</f>
        <v>3061.3</v>
      </c>
      <c r="I13" s="12">
        <f>H13*(1+I14)</f>
        <v>3367.4300000000003</v>
      </c>
    </row>
    <row r="14" spans="1:9" x14ac:dyDescent="0.25">
      <c r="A14" s="5" t="s">
        <v>17</v>
      </c>
      <c r="B14" s="8"/>
      <c r="C14" s="8">
        <f>(C13-B13)/B13</f>
        <v>0.27297543221110099</v>
      </c>
      <c r="D14" s="8">
        <f>(D13-C13)/C13</f>
        <v>0.62044317369549673</v>
      </c>
      <c r="E14" s="9">
        <v>0.25</v>
      </c>
      <c r="F14" s="39">
        <v>0.1</v>
      </c>
      <c r="G14" s="39">
        <v>0.1</v>
      </c>
      <c r="H14" s="39">
        <v>0.1</v>
      </c>
      <c r="I14" s="39">
        <v>0.1</v>
      </c>
    </row>
    <row r="16" spans="1:9" x14ac:dyDescent="0.25">
      <c r="A16" s="3" t="s">
        <v>18</v>
      </c>
      <c r="B16" s="13">
        <f t="shared" ref="B16:I16" si="0">B4+B7+B10+B13</f>
        <v>27974</v>
      </c>
      <c r="C16" s="13">
        <f t="shared" si="0"/>
        <v>60922</v>
      </c>
      <c r="D16" s="13">
        <f t="shared" si="0"/>
        <v>130497</v>
      </c>
      <c r="E16" s="13">
        <f t="shared" si="0"/>
        <v>213500</v>
      </c>
      <c r="F16" s="13">
        <f t="shared" si="0"/>
        <v>303970</v>
      </c>
      <c r="G16" s="13">
        <f t="shared" si="0"/>
        <v>405311</v>
      </c>
      <c r="H16" s="13">
        <f t="shared" si="0"/>
        <v>503120.49999999994</v>
      </c>
      <c r="I16" s="13">
        <f t="shared" si="0"/>
        <v>591569.51000000013</v>
      </c>
    </row>
    <row r="17" spans="1:9" x14ac:dyDescent="0.25">
      <c r="A17" s="5" t="s">
        <v>19</v>
      </c>
      <c r="B17" s="8"/>
      <c r="C17" s="8">
        <f t="shared" ref="C17:I17" si="1">(C16-B16)/B16</f>
        <v>1.1778079645385</v>
      </c>
      <c r="D17" s="8">
        <f t="shared" si="1"/>
        <v>1.1420340763599357</v>
      </c>
      <c r="E17" s="8">
        <f t="shared" si="1"/>
        <v>0.63605293608282187</v>
      </c>
      <c r="F17" s="8">
        <f t="shared" si="1"/>
        <v>0.42374707259953159</v>
      </c>
      <c r="G17" s="8">
        <f t="shared" si="1"/>
        <v>0.33339145310392471</v>
      </c>
      <c r="H17" s="8">
        <f t="shared" si="1"/>
        <v>0.24131962863085368</v>
      </c>
      <c r="I17" s="8">
        <f t="shared" si="1"/>
        <v>0.17580084691440756</v>
      </c>
    </row>
    <row r="19" spans="1:9" x14ac:dyDescent="0.25">
      <c r="A19" s="3" t="s">
        <v>20</v>
      </c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5" t="s">
        <v>21</v>
      </c>
      <c r="B20" s="9">
        <v>0.56930000000000003</v>
      </c>
      <c r="C20" s="9">
        <v>0.72719999999999996</v>
      </c>
      <c r="D20" s="9">
        <v>0.74990000000000001</v>
      </c>
      <c r="E20" s="14">
        <v>0.74</v>
      </c>
      <c r="F20" s="14">
        <v>0.73</v>
      </c>
      <c r="G20" s="14">
        <v>0.72</v>
      </c>
      <c r="H20" s="14">
        <v>0.71</v>
      </c>
      <c r="I20" s="14">
        <v>0.7</v>
      </c>
    </row>
    <row r="21" spans="1:9" x14ac:dyDescent="0.25">
      <c r="A21" s="5" t="s">
        <v>22</v>
      </c>
      <c r="B21" s="9">
        <v>0.27200000000000002</v>
      </c>
      <c r="C21" s="9">
        <v>0.1424</v>
      </c>
      <c r="D21" s="9">
        <v>9.9000000000000005E-2</v>
      </c>
      <c r="E21" s="14">
        <v>8.5000000000000006E-2</v>
      </c>
      <c r="F21" s="14">
        <v>0.08</v>
      </c>
      <c r="G21" s="14">
        <v>7.8E-2</v>
      </c>
      <c r="H21" s="14">
        <v>7.4999999999999997E-2</v>
      </c>
      <c r="I21" s="14">
        <v>7.2999999999999995E-2</v>
      </c>
    </row>
    <row r="22" spans="1:9" x14ac:dyDescent="0.25">
      <c r="A22" s="5" t="s">
        <v>23</v>
      </c>
      <c r="B22" s="9">
        <v>9.0499999999999997E-2</v>
      </c>
      <c r="C22" s="9">
        <v>4.36E-2</v>
      </c>
      <c r="D22" s="9">
        <v>2.6800000000000001E-2</v>
      </c>
      <c r="E22" s="14">
        <v>2.1999999999999999E-2</v>
      </c>
      <c r="F22" s="14">
        <v>0.02</v>
      </c>
      <c r="G22" s="14">
        <v>1.9E-2</v>
      </c>
      <c r="H22" s="14">
        <v>1.7999999999999999E-2</v>
      </c>
      <c r="I22" s="14">
        <v>1.7000000000000001E-2</v>
      </c>
    </row>
    <row r="23" spans="1:9" x14ac:dyDescent="0.25">
      <c r="A23" s="15" t="s">
        <v>24</v>
      </c>
      <c r="B23" s="11">
        <v>1544</v>
      </c>
      <c r="C23" s="11">
        <v>1508</v>
      </c>
      <c r="D23" s="11">
        <v>1864</v>
      </c>
      <c r="E23" s="16">
        <v>1.2E-2</v>
      </c>
      <c r="F23" s="16">
        <v>1.2E-2</v>
      </c>
      <c r="G23" s="16">
        <v>1.0999999999999999E-2</v>
      </c>
      <c r="H23" s="16">
        <v>1.0999999999999999E-2</v>
      </c>
      <c r="I23" s="16">
        <v>0.01</v>
      </c>
    </row>
    <row r="25" spans="1:9" x14ac:dyDescent="0.25">
      <c r="A25" s="3" t="s">
        <v>25</v>
      </c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5" t="s">
        <v>26</v>
      </c>
      <c r="B26" s="9">
        <v>-4.4699999999999997E-2</v>
      </c>
      <c r="C26" s="9">
        <v>0.12</v>
      </c>
      <c r="D26" s="9">
        <v>0.1326</v>
      </c>
      <c r="E26" s="14">
        <v>0.13500000000000001</v>
      </c>
      <c r="F26" s="14">
        <v>0.13500000000000001</v>
      </c>
      <c r="G26" s="14">
        <v>0.13500000000000001</v>
      </c>
      <c r="H26" s="14">
        <v>0.13500000000000001</v>
      </c>
      <c r="I26" s="14">
        <v>0.13500000000000001</v>
      </c>
    </row>
    <row r="27" spans="1:9" x14ac:dyDescent="0.25">
      <c r="A27" s="15" t="s">
        <v>27</v>
      </c>
      <c r="B27" s="11">
        <v>262</v>
      </c>
      <c r="C27" s="11">
        <v>257</v>
      </c>
      <c r="D27" s="11">
        <v>247</v>
      </c>
      <c r="E27" s="11">
        <v>240</v>
      </c>
      <c r="F27" s="11">
        <v>230</v>
      </c>
      <c r="G27" s="11">
        <v>220</v>
      </c>
      <c r="H27" s="11">
        <v>210</v>
      </c>
      <c r="I27" s="11">
        <v>200</v>
      </c>
    </row>
    <row r="28" spans="1:9" x14ac:dyDescent="0.25">
      <c r="A28" s="15" t="s">
        <v>28</v>
      </c>
      <c r="B28" s="11">
        <v>267</v>
      </c>
      <c r="C28" s="11">
        <v>866</v>
      </c>
      <c r="D28" s="11">
        <v>1786</v>
      </c>
      <c r="E28" s="11">
        <v>2000</v>
      </c>
      <c r="F28" s="11">
        <v>2200</v>
      </c>
      <c r="G28" s="11">
        <v>2400</v>
      </c>
      <c r="H28" s="11">
        <v>2600</v>
      </c>
      <c r="I28" s="11">
        <v>2800</v>
      </c>
    </row>
    <row r="30" spans="1:9" x14ac:dyDescent="0.25">
      <c r="A30" s="3" t="s">
        <v>29</v>
      </c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15" t="s">
        <v>30</v>
      </c>
      <c r="B31" s="17">
        <v>52</v>
      </c>
      <c r="C31" s="17">
        <v>60</v>
      </c>
      <c r="D31" s="17">
        <v>65</v>
      </c>
      <c r="E31" s="18">
        <v>60</v>
      </c>
      <c r="F31" s="18">
        <v>65</v>
      </c>
      <c r="G31" s="18">
        <v>64</v>
      </c>
      <c r="H31" s="18">
        <v>63</v>
      </c>
      <c r="I31" s="18">
        <v>62</v>
      </c>
    </row>
    <row r="32" spans="1:9" x14ac:dyDescent="0.25">
      <c r="A32" s="15" t="s">
        <v>31</v>
      </c>
      <c r="B32" s="17">
        <v>162</v>
      </c>
      <c r="C32" s="17">
        <v>118</v>
      </c>
      <c r="D32" s="17">
        <v>113</v>
      </c>
      <c r="E32" s="18">
        <v>100</v>
      </c>
      <c r="F32" s="18">
        <v>98</v>
      </c>
      <c r="G32" s="18">
        <v>95</v>
      </c>
      <c r="H32" s="18">
        <v>92</v>
      </c>
      <c r="I32" s="18">
        <v>90</v>
      </c>
    </row>
    <row r="33" spans="1:9" x14ac:dyDescent="0.25">
      <c r="A33" s="15" t="s">
        <v>32</v>
      </c>
      <c r="B33" s="17">
        <v>37</v>
      </c>
      <c r="C33" s="17">
        <v>59</v>
      </c>
      <c r="D33" s="17">
        <v>71</v>
      </c>
      <c r="E33" s="18">
        <v>65</v>
      </c>
      <c r="F33" s="18">
        <v>70</v>
      </c>
      <c r="G33" s="18">
        <v>68</v>
      </c>
      <c r="H33" s="18">
        <v>67</v>
      </c>
      <c r="I33" s="18">
        <v>66</v>
      </c>
    </row>
    <row r="35" spans="1:9" x14ac:dyDescent="0.25">
      <c r="A35" s="3" t="s">
        <v>33</v>
      </c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15" t="s">
        <v>34</v>
      </c>
      <c r="B36" s="19">
        <v>6.8000000000000005E-2</v>
      </c>
      <c r="C36" s="19">
        <v>1.7500000000000002E-2</v>
      </c>
      <c r="D36" s="19">
        <v>2.4799999999999999E-2</v>
      </c>
      <c r="E36" s="16">
        <v>0.03</v>
      </c>
      <c r="F36" s="16">
        <v>0.03</v>
      </c>
      <c r="G36" s="16">
        <v>2.8000000000000001E-2</v>
      </c>
      <c r="H36" s="16">
        <v>2.5999999999999999E-2</v>
      </c>
      <c r="I36" s="16">
        <v>2.5000000000000001E-2</v>
      </c>
    </row>
    <row r="37" spans="1:9" x14ac:dyDescent="0.25">
      <c r="A37" s="15" t="s">
        <v>35</v>
      </c>
      <c r="B37" s="11">
        <v>9703</v>
      </c>
      <c r="C37" s="11">
        <v>8459</v>
      </c>
      <c r="D37" s="11">
        <v>8463</v>
      </c>
      <c r="E37" s="11">
        <v>7469</v>
      </c>
      <c r="F37" s="11">
        <v>7469</v>
      </c>
      <c r="G37" s="11">
        <v>7469</v>
      </c>
      <c r="H37" s="11">
        <v>7469</v>
      </c>
      <c r="I37" s="11">
        <v>7469</v>
      </c>
    </row>
    <row r="39" spans="1:9" x14ac:dyDescent="0.25">
      <c r="A39" s="3" t="s">
        <v>36</v>
      </c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15" t="s">
        <v>37</v>
      </c>
      <c r="B40" s="11">
        <v>25070</v>
      </c>
      <c r="C40" s="11">
        <v>24940</v>
      </c>
      <c r="D40" s="11">
        <v>24804</v>
      </c>
      <c r="E40" s="20">
        <v>24400</v>
      </c>
      <c r="F40" s="20">
        <v>24000</v>
      </c>
      <c r="G40" s="20">
        <v>23600</v>
      </c>
      <c r="H40" s="20">
        <v>23200</v>
      </c>
      <c r="I40" s="20">
        <v>22800</v>
      </c>
    </row>
    <row r="42" spans="1:9" x14ac:dyDescent="0.25">
      <c r="A42" s="3" t="s">
        <v>38</v>
      </c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21" t="s">
        <v>39</v>
      </c>
      <c r="B43" s="16">
        <v>0.09</v>
      </c>
    </row>
    <row r="44" spans="1:9" x14ac:dyDescent="0.25">
      <c r="A44" s="21" t="s">
        <v>40</v>
      </c>
      <c r="B44" s="16">
        <v>3.5000000000000003E-2</v>
      </c>
    </row>
    <row r="45" spans="1:9" x14ac:dyDescent="0.25">
      <c r="A45" s="21" t="s">
        <v>41</v>
      </c>
      <c r="B45" s="22">
        <v>25</v>
      </c>
    </row>
    <row r="47" spans="1:9" x14ac:dyDescent="0.25">
      <c r="A47" s="23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I41"/>
  <sheetViews>
    <sheetView zoomScale="80" zoomScaleNormal="80" workbookViewId="0">
      <selection sqref="A1:I41"/>
    </sheetView>
  </sheetViews>
  <sheetFormatPr defaultColWidth="8.7109375" defaultRowHeight="15" x14ac:dyDescent="0.25"/>
  <cols>
    <col min="1" max="1" width="38" customWidth="1"/>
    <col min="2" max="9" width="16" customWidth="1"/>
  </cols>
  <sheetData>
    <row r="1" spans="1:9" ht="15.75" x14ac:dyDescent="0.25">
      <c r="A1" s="1" t="s">
        <v>43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3" spans="1:9" x14ac:dyDescent="0.25">
      <c r="A3" s="3" t="s">
        <v>44</v>
      </c>
      <c r="B3" s="4"/>
      <c r="C3" s="4"/>
      <c r="D3" s="4"/>
      <c r="E3" s="4"/>
      <c r="F3" s="4"/>
      <c r="G3" s="4"/>
      <c r="H3" s="4"/>
      <c r="I3" s="4"/>
    </row>
    <row r="4" spans="1:9" x14ac:dyDescent="0.25">
      <c r="A4" s="15" t="s">
        <v>45</v>
      </c>
      <c r="B4" s="24">
        <f>Assumptions!B4</f>
        <v>15006</v>
      </c>
      <c r="C4" s="24">
        <f>Assumptions!C4</f>
        <v>47525</v>
      </c>
      <c r="D4" s="24">
        <f>Assumptions!D4</f>
        <v>115190</v>
      </c>
      <c r="E4" s="24">
        <f>Assumptions!E4</f>
        <v>192000</v>
      </c>
      <c r="F4" s="24">
        <f>Assumptions!F4</f>
        <v>278400</v>
      </c>
      <c r="G4" s="24">
        <f>Assumptions!G4</f>
        <v>375840</v>
      </c>
      <c r="H4" s="24">
        <f>Assumptions!H4</f>
        <v>469800</v>
      </c>
      <c r="I4" s="24">
        <f>Assumptions!I4</f>
        <v>554364</v>
      </c>
    </row>
    <row r="5" spans="1:9" x14ac:dyDescent="0.25">
      <c r="A5" s="15" t="s">
        <v>46</v>
      </c>
      <c r="B5" s="24">
        <f>Assumptions!B7</f>
        <v>10325</v>
      </c>
      <c r="C5" s="24">
        <f>Assumptions!C7</f>
        <v>10445</v>
      </c>
      <c r="D5" s="24">
        <f>Assumptions!D7</f>
        <v>11350</v>
      </c>
      <c r="E5" s="24">
        <f>Assumptions!E7</f>
        <v>16000</v>
      </c>
      <c r="F5" s="24">
        <f>Assumptions!F7</f>
        <v>19200</v>
      </c>
      <c r="G5" s="24">
        <f>Assumptions!G7</f>
        <v>22080</v>
      </c>
      <c r="H5" s="24">
        <f>Assumptions!H7</f>
        <v>24729.600000000002</v>
      </c>
      <c r="I5" s="24">
        <f>Assumptions!I7</f>
        <v>27202.560000000005</v>
      </c>
    </row>
    <row r="6" spans="1:9" x14ac:dyDescent="0.25">
      <c r="A6" s="15" t="s">
        <v>47</v>
      </c>
      <c r="B6" s="24">
        <f>Assumptions!B10</f>
        <v>1544</v>
      </c>
      <c r="C6" s="24">
        <f>Assumptions!C10</f>
        <v>1553</v>
      </c>
      <c r="D6" s="24">
        <f>Assumptions!D10</f>
        <v>1690</v>
      </c>
      <c r="E6" s="24">
        <f>Assumptions!E10</f>
        <v>3200</v>
      </c>
      <c r="F6" s="24">
        <f>Assumptions!F10</f>
        <v>3840</v>
      </c>
      <c r="G6" s="24">
        <f>Assumptions!G10</f>
        <v>4608</v>
      </c>
      <c r="H6" s="24">
        <f>Assumptions!H10</f>
        <v>5529.5999999999995</v>
      </c>
      <c r="I6" s="24">
        <f>Assumptions!I10</f>
        <v>6635.5199999999995</v>
      </c>
    </row>
    <row r="7" spans="1:9" x14ac:dyDescent="0.25">
      <c r="A7" s="15" t="s">
        <v>48</v>
      </c>
      <c r="B7" s="24">
        <f>Assumptions!B13</f>
        <v>1099</v>
      </c>
      <c r="C7" s="24">
        <f>Assumptions!C13</f>
        <v>1399</v>
      </c>
      <c r="D7" s="24">
        <f>Assumptions!D13</f>
        <v>2267</v>
      </c>
      <c r="E7" s="24">
        <f>Assumptions!E13</f>
        <v>2300</v>
      </c>
      <c r="F7" s="24">
        <f>Assumptions!F13</f>
        <v>2530</v>
      </c>
      <c r="G7" s="24">
        <f>Assumptions!G13</f>
        <v>2783</v>
      </c>
      <c r="H7" s="24">
        <f>Assumptions!H13</f>
        <v>3061.3</v>
      </c>
      <c r="I7" s="24">
        <f>Assumptions!I13</f>
        <v>3367.4300000000003</v>
      </c>
    </row>
    <row r="9" spans="1:9" x14ac:dyDescent="0.25">
      <c r="A9" s="10" t="s">
        <v>18</v>
      </c>
      <c r="B9" s="25">
        <f t="shared" ref="B9:I9" si="0">B4+B5+B6+B7</f>
        <v>27974</v>
      </c>
      <c r="C9" s="25">
        <f t="shared" si="0"/>
        <v>60922</v>
      </c>
      <c r="D9" s="25">
        <f t="shared" si="0"/>
        <v>130497</v>
      </c>
      <c r="E9" s="25">
        <f t="shared" si="0"/>
        <v>213500</v>
      </c>
      <c r="F9" s="25">
        <f t="shared" si="0"/>
        <v>303970</v>
      </c>
      <c r="G9" s="25">
        <f t="shared" si="0"/>
        <v>405311</v>
      </c>
      <c r="H9" s="25">
        <f t="shared" si="0"/>
        <v>503120.49999999994</v>
      </c>
      <c r="I9" s="25">
        <f t="shared" si="0"/>
        <v>591569.51000000013</v>
      </c>
    </row>
    <row r="10" spans="1:9" x14ac:dyDescent="0.25">
      <c r="A10" s="15" t="s">
        <v>49</v>
      </c>
      <c r="C10" s="26">
        <f t="shared" ref="C10:I10" si="1">(C9-B9)/B9</f>
        <v>1.1778079645385</v>
      </c>
      <c r="D10" s="26">
        <f t="shared" si="1"/>
        <v>1.1420340763599357</v>
      </c>
      <c r="E10" s="26">
        <f t="shared" si="1"/>
        <v>0.63605293608282187</v>
      </c>
      <c r="F10" s="26">
        <f t="shared" si="1"/>
        <v>0.42374707259953159</v>
      </c>
      <c r="G10" s="26">
        <f t="shared" si="1"/>
        <v>0.33339145310392471</v>
      </c>
      <c r="H10" s="26">
        <f t="shared" si="1"/>
        <v>0.24131962863085368</v>
      </c>
      <c r="I10" s="26">
        <f t="shared" si="1"/>
        <v>0.17580084691440756</v>
      </c>
    </row>
    <row r="12" spans="1:9" x14ac:dyDescent="0.25">
      <c r="A12" s="3" t="s">
        <v>50</v>
      </c>
      <c r="B12" s="4"/>
      <c r="C12" s="4"/>
      <c r="D12" s="4"/>
      <c r="E12" s="4"/>
      <c r="F12" s="4"/>
      <c r="G12" s="4"/>
      <c r="H12" s="4"/>
      <c r="I12" s="4"/>
    </row>
    <row r="13" spans="1:9" x14ac:dyDescent="0.25">
      <c r="A13" s="15" t="s">
        <v>51</v>
      </c>
      <c r="B13" s="12">
        <f>B9*(1-Assumptions!B20)</f>
        <v>12048.4018</v>
      </c>
      <c r="C13" s="12">
        <f>C9*(1-Assumptions!C20)</f>
        <v>16619.521600000004</v>
      </c>
      <c r="D13" s="12">
        <f>D9*(1-Assumptions!D20)</f>
        <v>32637.2997</v>
      </c>
      <c r="E13" s="12">
        <f>E9*(1-Assumptions!E20)</f>
        <v>55510</v>
      </c>
      <c r="F13" s="12">
        <f>F9*(1-Assumptions!F20)</f>
        <v>82071.900000000009</v>
      </c>
      <c r="G13" s="12">
        <f>G9*(1-Assumptions!G20)</f>
        <v>113487.08000000002</v>
      </c>
      <c r="H13" s="12">
        <f>H9*(1-Assumptions!H20)</f>
        <v>145904.94500000001</v>
      </c>
      <c r="I13" s="12">
        <f>I9*(1-Assumptions!I20)</f>
        <v>177470.85300000006</v>
      </c>
    </row>
    <row r="15" spans="1:9" x14ac:dyDescent="0.25">
      <c r="A15" s="10" t="s">
        <v>52</v>
      </c>
      <c r="B15" s="25">
        <f t="shared" ref="B15:I15" si="2">B9-B13</f>
        <v>15925.5982</v>
      </c>
      <c r="C15" s="25">
        <f t="shared" si="2"/>
        <v>44302.478399999993</v>
      </c>
      <c r="D15" s="25">
        <f t="shared" si="2"/>
        <v>97859.700299999997</v>
      </c>
      <c r="E15" s="25">
        <f t="shared" si="2"/>
        <v>157990</v>
      </c>
      <c r="F15" s="25">
        <f t="shared" si="2"/>
        <v>221898.09999999998</v>
      </c>
      <c r="G15" s="25">
        <f t="shared" si="2"/>
        <v>291823.92</v>
      </c>
      <c r="H15" s="25">
        <f t="shared" si="2"/>
        <v>357215.55499999993</v>
      </c>
      <c r="I15" s="25">
        <f t="shared" si="2"/>
        <v>414098.65700000006</v>
      </c>
    </row>
    <row r="16" spans="1:9" x14ac:dyDescent="0.25">
      <c r="A16" s="15" t="s">
        <v>53</v>
      </c>
      <c r="B16" s="26">
        <f t="shared" ref="B16:I16" si="3">B15/B9</f>
        <v>0.56930000000000003</v>
      </c>
      <c r="C16" s="26">
        <f t="shared" si="3"/>
        <v>0.72719999999999985</v>
      </c>
      <c r="D16" s="26">
        <f t="shared" si="3"/>
        <v>0.74990000000000001</v>
      </c>
      <c r="E16" s="26">
        <f t="shared" si="3"/>
        <v>0.74</v>
      </c>
      <c r="F16" s="26">
        <f t="shared" si="3"/>
        <v>0.72999999999999987</v>
      </c>
      <c r="G16" s="26">
        <f t="shared" si="3"/>
        <v>0.72</v>
      </c>
      <c r="H16" s="26">
        <f t="shared" si="3"/>
        <v>0.71</v>
      </c>
      <c r="I16" s="26">
        <f t="shared" si="3"/>
        <v>0.7</v>
      </c>
    </row>
    <row r="18" spans="1:9" x14ac:dyDescent="0.25">
      <c r="A18" s="15" t="s">
        <v>54</v>
      </c>
      <c r="B18" s="12">
        <f>B9*Assumptions!B21</f>
        <v>7608.9280000000008</v>
      </c>
      <c r="C18" s="12">
        <f>C9*Assumptions!C21</f>
        <v>8675.2927999999993</v>
      </c>
      <c r="D18" s="12">
        <f>D9*Assumptions!D21</f>
        <v>12919.203000000001</v>
      </c>
      <c r="E18" s="12">
        <f>E9*Assumptions!E21</f>
        <v>18147.5</v>
      </c>
      <c r="F18" s="12">
        <f>F9*Assumptions!F21</f>
        <v>24317.600000000002</v>
      </c>
      <c r="G18" s="12">
        <f>G9*Assumptions!G21</f>
        <v>31614.258000000002</v>
      </c>
      <c r="H18" s="12">
        <f>H9*Assumptions!H21</f>
        <v>37734.037499999991</v>
      </c>
      <c r="I18" s="12">
        <f>I9*Assumptions!I21</f>
        <v>43184.574230000006</v>
      </c>
    </row>
    <row r="19" spans="1:9" x14ac:dyDescent="0.25">
      <c r="A19" s="15" t="s">
        <v>55</v>
      </c>
      <c r="B19" s="12">
        <f>B9*Assumptions!B22</f>
        <v>2531.6469999999999</v>
      </c>
      <c r="C19" s="12">
        <f>C9*Assumptions!C22</f>
        <v>2656.1992</v>
      </c>
      <c r="D19" s="12">
        <f>D9*Assumptions!D22</f>
        <v>3497.3196000000003</v>
      </c>
      <c r="E19" s="12">
        <f>E9*Assumptions!E22</f>
        <v>4697</v>
      </c>
      <c r="F19" s="12">
        <f>F9*Assumptions!F22</f>
        <v>6079.4000000000005</v>
      </c>
      <c r="G19" s="12">
        <f>G9*Assumptions!G22</f>
        <v>7700.9089999999997</v>
      </c>
      <c r="H19" s="12">
        <f>H9*Assumptions!H22</f>
        <v>9056.1689999999981</v>
      </c>
      <c r="I19" s="12">
        <f>I9*Assumptions!I22</f>
        <v>10056.681670000004</v>
      </c>
    </row>
    <row r="20" spans="1:9" x14ac:dyDescent="0.25">
      <c r="A20" s="15" t="s">
        <v>56</v>
      </c>
      <c r="B20" s="11">
        <v>1544</v>
      </c>
      <c r="C20" s="11">
        <v>1508</v>
      </c>
      <c r="D20" s="11">
        <v>1864</v>
      </c>
      <c r="E20" s="12">
        <f>E9*Assumptions!E23</f>
        <v>2562</v>
      </c>
      <c r="F20" s="12">
        <f>F9*Assumptions!F23</f>
        <v>3647.64</v>
      </c>
      <c r="G20" s="12">
        <f>G9*Assumptions!G23</f>
        <v>4458.4209999999994</v>
      </c>
      <c r="H20" s="12">
        <f>H9*Assumptions!H23</f>
        <v>5534.325499999999</v>
      </c>
      <c r="I20" s="12">
        <f>I9*Assumptions!I23</f>
        <v>5915.6951000000017</v>
      </c>
    </row>
    <row r="22" spans="1:9" x14ac:dyDescent="0.25">
      <c r="A22" s="10" t="s">
        <v>57</v>
      </c>
      <c r="B22" s="25">
        <f t="shared" ref="B22:I22" si="4">B18+B19+B20</f>
        <v>11684.575000000001</v>
      </c>
      <c r="C22" s="25">
        <f t="shared" si="4"/>
        <v>12839.491999999998</v>
      </c>
      <c r="D22" s="25">
        <f t="shared" si="4"/>
        <v>18280.5226</v>
      </c>
      <c r="E22" s="25">
        <f t="shared" si="4"/>
        <v>25406.5</v>
      </c>
      <c r="F22" s="25">
        <f t="shared" si="4"/>
        <v>34044.640000000007</v>
      </c>
      <c r="G22" s="25">
        <f t="shared" si="4"/>
        <v>43773.588000000003</v>
      </c>
      <c r="H22" s="25">
        <f t="shared" si="4"/>
        <v>52324.531999999985</v>
      </c>
      <c r="I22" s="25">
        <f t="shared" si="4"/>
        <v>59156.951000000015</v>
      </c>
    </row>
    <row r="24" spans="1:9" x14ac:dyDescent="0.25">
      <c r="A24" s="10" t="s">
        <v>58</v>
      </c>
      <c r="B24" s="27">
        <f t="shared" ref="B24:I24" si="5">B15-B22</f>
        <v>4241.0231999999996</v>
      </c>
      <c r="C24" s="27">
        <f t="shared" si="5"/>
        <v>31462.986399999994</v>
      </c>
      <c r="D24" s="27">
        <f t="shared" si="5"/>
        <v>79579.1777</v>
      </c>
      <c r="E24" s="27">
        <f t="shared" si="5"/>
        <v>132583.5</v>
      </c>
      <c r="F24" s="27">
        <f t="shared" si="5"/>
        <v>187853.45999999996</v>
      </c>
      <c r="G24" s="27">
        <f t="shared" si="5"/>
        <v>248050.33199999999</v>
      </c>
      <c r="H24" s="27">
        <f t="shared" si="5"/>
        <v>304891.02299999993</v>
      </c>
      <c r="I24" s="27">
        <f t="shared" si="5"/>
        <v>354941.70600000006</v>
      </c>
    </row>
    <row r="25" spans="1:9" x14ac:dyDescent="0.25">
      <c r="A25" s="15" t="s">
        <v>59</v>
      </c>
      <c r="B25" s="26">
        <f t="shared" ref="B25:I25" si="6">B24/B9</f>
        <v>0.15160589118467147</v>
      </c>
      <c r="C25" s="26">
        <f t="shared" si="6"/>
        <v>0.51644703719510188</v>
      </c>
      <c r="D25" s="26">
        <f t="shared" si="6"/>
        <v>0.60981614673134243</v>
      </c>
      <c r="E25" s="26">
        <f t="shared" si="6"/>
        <v>0.621</v>
      </c>
      <c r="F25" s="26">
        <f t="shared" si="6"/>
        <v>0.61799999999999988</v>
      </c>
      <c r="G25" s="26">
        <f t="shared" si="6"/>
        <v>0.61199999999999999</v>
      </c>
      <c r="H25" s="26">
        <f t="shared" si="6"/>
        <v>0.60599999999999987</v>
      </c>
      <c r="I25" s="26">
        <f t="shared" si="6"/>
        <v>0.6</v>
      </c>
    </row>
    <row r="27" spans="1:9" x14ac:dyDescent="0.25">
      <c r="A27" s="3" t="s">
        <v>60</v>
      </c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15" t="s">
        <v>61</v>
      </c>
      <c r="B28" s="24">
        <f>-Assumptions!B27</f>
        <v>-262</v>
      </c>
      <c r="C28" s="24">
        <f>-Assumptions!C27</f>
        <v>-257</v>
      </c>
      <c r="D28" s="24">
        <f>-Assumptions!D27</f>
        <v>-247</v>
      </c>
      <c r="E28" s="24">
        <f>-Assumptions!E27</f>
        <v>-240</v>
      </c>
      <c r="F28" s="24">
        <f>-Assumptions!F27</f>
        <v>-230</v>
      </c>
      <c r="G28" s="24">
        <f>-Assumptions!G27</f>
        <v>-220</v>
      </c>
      <c r="H28" s="24">
        <f>-Assumptions!H27</f>
        <v>-210</v>
      </c>
      <c r="I28" s="24">
        <f>-Assumptions!I27</f>
        <v>-200</v>
      </c>
    </row>
    <row r="29" spans="1:9" x14ac:dyDescent="0.25">
      <c r="A29" s="15" t="s">
        <v>62</v>
      </c>
      <c r="B29" s="24">
        <f>Assumptions!B28</f>
        <v>267</v>
      </c>
      <c r="C29" s="24">
        <f>Assumptions!C28</f>
        <v>866</v>
      </c>
      <c r="D29" s="24">
        <f>Assumptions!D28</f>
        <v>1786</v>
      </c>
      <c r="E29" s="24">
        <f>Assumptions!E28</f>
        <v>2000</v>
      </c>
      <c r="F29" s="24">
        <f>Assumptions!F28</f>
        <v>2200</v>
      </c>
      <c r="G29" s="24">
        <f>Assumptions!G28</f>
        <v>2400</v>
      </c>
      <c r="H29" s="24">
        <f>Assumptions!H28</f>
        <v>2600</v>
      </c>
      <c r="I29" s="24">
        <f>Assumptions!I28</f>
        <v>2800</v>
      </c>
    </row>
    <row r="31" spans="1:9" x14ac:dyDescent="0.25">
      <c r="A31" s="10" t="s">
        <v>63</v>
      </c>
      <c r="B31" s="27">
        <f t="shared" ref="B31:I31" si="7">B24+B28+B29</f>
        <v>4246.0231999999996</v>
      </c>
      <c r="C31" s="27">
        <f t="shared" si="7"/>
        <v>32071.986399999994</v>
      </c>
      <c r="D31" s="27">
        <f t="shared" si="7"/>
        <v>81118.1777</v>
      </c>
      <c r="E31" s="27">
        <f t="shared" si="7"/>
        <v>134343.5</v>
      </c>
      <c r="F31" s="27">
        <f t="shared" si="7"/>
        <v>189823.45999999996</v>
      </c>
      <c r="G31" s="27">
        <f t="shared" si="7"/>
        <v>250230.33199999999</v>
      </c>
      <c r="H31" s="27">
        <f t="shared" si="7"/>
        <v>307281.02299999993</v>
      </c>
      <c r="I31" s="27">
        <f t="shared" si="7"/>
        <v>357541.70600000006</v>
      </c>
    </row>
    <row r="32" spans="1:9" x14ac:dyDescent="0.25">
      <c r="A32" s="15" t="s">
        <v>64</v>
      </c>
      <c r="B32" s="12">
        <f>B31*Assumptions!B26</f>
        <v>-189.79723703999997</v>
      </c>
      <c r="C32" s="12">
        <f>C31*Assumptions!C26</f>
        <v>3848.638367999999</v>
      </c>
      <c r="D32" s="12">
        <f>D31*Assumptions!D26</f>
        <v>10756.270363019999</v>
      </c>
      <c r="E32" s="12">
        <f>E31*Assumptions!E26</f>
        <v>18136.372500000001</v>
      </c>
      <c r="F32" s="12">
        <f>F31*Assumptions!F26</f>
        <v>25626.167099999995</v>
      </c>
      <c r="G32" s="12">
        <f>G31*Assumptions!G26</f>
        <v>33781.094819999998</v>
      </c>
      <c r="H32" s="12">
        <f>H31*Assumptions!H26</f>
        <v>41482.938104999994</v>
      </c>
      <c r="I32" s="12">
        <f>I31*Assumptions!I26</f>
        <v>48268.130310000015</v>
      </c>
    </row>
    <row r="34" spans="1:9" x14ac:dyDescent="0.25">
      <c r="A34" s="10" t="s">
        <v>65</v>
      </c>
      <c r="B34" s="28">
        <f t="shared" ref="B34:I34" si="8">B31-B32</f>
        <v>4435.8204370399999</v>
      </c>
      <c r="C34" s="28">
        <f t="shared" si="8"/>
        <v>28223.348031999994</v>
      </c>
      <c r="D34" s="28">
        <f t="shared" si="8"/>
        <v>70361.907336980003</v>
      </c>
      <c r="E34" s="28">
        <f t="shared" si="8"/>
        <v>116207.1275</v>
      </c>
      <c r="F34" s="28">
        <f t="shared" si="8"/>
        <v>164197.29289999997</v>
      </c>
      <c r="G34" s="28">
        <f t="shared" si="8"/>
        <v>216449.23718</v>
      </c>
      <c r="H34" s="28">
        <f t="shared" si="8"/>
        <v>265798.08489499992</v>
      </c>
      <c r="I34" s="28">
        <f t="shared" si="8"/>
        <v>309273.57569000003</v>
      </c>
    </row>
    <row r="35" spans="1:9" x14ac:dyDescent="0.25">
      <c r="A35" s="15" t="s">
        <v>66</v>
      </c>
      <c r="B35" s="26">
        <f t="shared" ref="B35:I35" si="9">B34/B9</f>
        <v>0.15856940148137555</v>
      </c>
      <c r="C35" s="26">
        <f t="shared" si="9"/>
        <v>0.46327021489773801</v>
      </c>
      <c r="D35" s="26">
        <f t="shared" si="9"/>
        <v>0.53918409876840079</v>
      </c>
      <c r="E35" s="26">
        <f t="shared" si="9"/>
        <v>0.54429567915690868</v>
      </c>
      <c r="F35" s="26">
        <f t="shared" si="9"/>
        <v>0.54017598085337359</v>
      </c>
      <c r="G35" s="26">
        <f t="shared" si="9"/>
        <v>0.53403247674008358</v>
      </c>
      <c r="H35" s="26">
        <f t="shared" si="9"/>
        <v>0.52829905538533994</v>
      </c>
      <c r="I35" s="26">
        <f t="shared" si="9"/>
        <v>0.52280175104021154</v>
      </c>
    </row>
    <row r="37" spans="1:9" x14ac:dyDescent="0.25">
      <c r="A37" s="10" t="s">
        <v>67</v>
      </c>
      <c r="B37" s="27">
        <f t="shared" ref="B37:I37" si="10">B24+B20</f>
        <v>5785.0231999999996</v>
      </c>
      <c r="C37" s="27">
        <f t="shared" si="10"/>
        <v>32970.986399999994</v>
      </c>
      <c r="D37" s="27">
        <f t="shared" si="10"/>
        <v>81443.1777</v>
      </c>
      <c r="E37" s="27">
        <f t="shared" si="10"/>
        <v>135145.5</v>
      </c>
      <c r="F37" s="27">
        <f t="shared" si="10"/>
        <v>191501.09999999998</v>
      </c>
      <c r="G37" s="27">
        <f t="shared" si="10"/>
        <v>252508.753</v>
      </c>
      <c r="H37" s="27">
        <f t="shared" si="10"/>
        <v>310425.34849999991</v>
      </c>
      <c r="I37" s="27">
        <f t="shared" si="10"/>
        <v>360857.40110000008</v>
      </c>
    </row>
    <row r="38" spans="1:9" x14ac:dyDescent="0.25">
      <c r="A38" s="15" t="s">
        <v>68</v>
      </c>
      <c r="B38" s="26">
        <f t="shared" ref="B38:I38" si="11">B37/B9</f>
        <v>0.20679999999999998</v>
      </c>
      <c r="C38" s="26">
        <f t="shared" si="11"/>
        <v>0.5411999999999999</v>
      </c>
      <c r="D38" s="26">
        <f t="shared" si="11"/>
        <v>0.62409999999999999</v>
      </c>
      <c r="E38" s="26">
        <f t="shared" si="11"/>
        <v>0.63300000000000001</v>
      </c>
      <c r="F38" s="26">
        <f t="shared" si="11"/>
        <v>0.62999999999999989</v>
      </c>
      <c r="G38" s="26">
        <f t="shared" si="11"/>
        <v>0.623</v>
      </c>
      <c r="H38" s="26">
        <f t="shared" si="11"/>
        <v>0.61699999999999988</v>
      </c>
      <c r="I38" s="26">
        <f t="shared" si="11"/>
        <v>0.61</v>
      </c>
    </row>
    <row r="40" spans="1:9" x14ac:dyDescent="0.25">
      <c r="A40" s="10" t="s">
        <v>69</v>
      </c>
      <c r="B40" s="29">
        <f>B34/Assumptions!B40</f>
        <v>0.17693739278181092</v>
      </c>
      <c r="C40" s="29">
        <f>C34/Assumptions!C40</f>
        <v>1.1316498809943862</v>
      </c>
      <c r="D40" s="29">
        <f>D34/Assumptions!D40</f>
        <v>2.8367161480801486</v>
      </c>
      <c r="E40" s="29">
        <f>E34/Assumptions!E40</f>
        <v>4.7625871926229513</v>
      </c>
      <c r="F40" s="29">
        <f>F34/Assumptions!F40</f>
        <v>6.8415538708333319</v>
      </c>
      <c r="G40" s="29">
        <f>G34/Assumptions!G40</f>
        <v>9.1715778466101696</v>
      </c>
      <c r="H40" s="29">
        <f>H34/Assumptions!H40</f>
        <v>11.456814004094824</v>
      </c>
      <c r="I40" s="29">
        <f>I34/Assumptions!I40</f>
        <v>13.564630512719299</v>
      </c>
    </row>
    <row r="41" spans="1:9" x14ac:dyDescent="0.25">
      <c r="A41" s="15" t="s">
        <v>70</v>
      </c>
      <c r="B41" s="24">
        <f>Assumptions!B40</f>
        <v>25070</v>
      </c>
      <c r="C41" s="24">
        <f>Assumptions!C40</f>
        <v>24940</v>
      </c>
      <c r="D41" s="24">
        <f>Assumptions!D40</f>
        <v>24804</v>
      </c>
      <c r="E41" s="24">
        <f>Assumptions!E40</f>
        <v>24400</v>
      </c>
      <c r="F41" s="24">
        <f>Assumptions!F40</f>
        <v>24000</v>
      </c>
      <c r="G41" s="24">
        <f>Assumptions!G40</f>
        <v>23600</v>
      </c>
      <c r="H41" s="24">
        <f>Assumptions!H40</f>
        <v>23200</v>
      </c>
      <c r="I41" s="24">
        <f>Assumptions!I40</f>
        <v>22800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I41"/>
  <sheetViews>
    <sheetView topLeftCell="B19" zoomScaleNormal="100" workbookViewId="0">
      <selection activeCell="I41" sqref="B41:I41"/>
    </sheetView>
  </sheetViews>
  <sheetFormatPr defaultColWidth="8.7109375" defaultRowHeight="15" x14ac:dyDescent="0.25"/>
  <cols>
    <col min="1" max="1" width="38" customWidth="1"/>
    <col min="2" max="9" width="16" customWidth="1"/>
  </cols>
  <sheetData>
    <row r="1" spans="1:9" ht="15.75" x14ac:dyDescent="0.25">
      <c r="A1" s="1" t="s">
        <v>71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3" spans="1:9" x14ac:dyDescent="0.25">
      <c r="A3" s="3" t="s">
        <v>72</v>
      </c>
      <c r="B3" s="4"/>
      <c r="C3" s="4"/>
      <c r="D3" s="4"/>
      <c r="E3" s="4"/>
      <c r="F3" s="4"/>
      <c r="G3" s="4"/>
      <c r="H3" s="4"/>
      <c r="I3" s="4"/>
    </row>
    <row r="4" spans="1:9" x14ac:dyDescent="0.25">
      <c r="A4" s="15" t="s">
        <v>73</v>
      </c>
      <c r="B4" s="11">
        <v>3389</v>
      </c>
      <c r="C4" s="11">
        <v>7280</v>
      </c>
      <c r="D4" s="11">
        <v>8589</v>
      </c>
      <c r="E4" s="24">
        <f>'Cash Flow'!E35</f>
        <v>65216.910376712331</v>
      </c>
      <c r="F4" s="24">
        <f>'Cash Flow'!F35</f>
        <v>162598.62248904107</v>
      </c>
      <c r="G4" s="24">
        <f>'Cash Flow'!G35</f>
        <v>312726.36313308217</v>
      </c>
      <c r="H4" s="24">
        <f>'Cash Flow'!H35</f>
        <v>514292.38186035946</v>
      </c>
      <c r="I4" s="24">
        <f>'Cash Flow'!I35</f>
        <v>761298.58385097166</v>
      </c>
    </row>
    <row r="5" spans="1:9" x14ac:dyDescent="0.25">
      <c r="A5" s="15" t="s">
        <v>74</v>
      </c>
      <c r="B5" s="11">
        <v>9907</v>
      </c>
      <c r="C5" s="11">
        <v>18704</v>
      </c>
      <c r="D5" s="11">
        <v>34621</v>
      </c>
      <c r="E5" s="11">
        <v>34621</v>
      </c>
      <c r="F5" s="11">
        <v>34621</v>
      </c>
      <c r="G5" s="11">
        <v>34621</v>
      </c>
      <c r="H5" s="11">
        <v>34621</v>
      </c>
      <c r="I5" s="11">
        <v>34621</v>
      </c>
    </row>
    <row r="6" spans="1:9" x14ac:dyDescent="0.25">
      <c r="A6" s="15" t="s">
        <v>75</v>
      </c>
      <c r="B6" s="11">
        <v>3827</v>
      </c>
      <c r="C6" s="11">
        <v>9999</v>
      </c>
      <c r="D6" s="11">
        <v>23065</v>
      </c>
      <c r="E6" s="12">
        <f>'Income Statement'!E9*Assumptions!E31/365</f>
        <v>35095.890410958906</v>
      </c>
      <c r="F6" s="12">
        <f>'Income Statement'!F9*Assumptions!F31/365</f>
        <v>54131.643835616436</v>
      </c>
      <c r="G6" s="12">
        <f>'Income Statement'!G9*Assumptions!G31/365</f>
        <v>71068.230136986298</v>
      </c>
      <c r="H6" s="12">
        <f>'Income Statement'!H9*Assumptions!H31/365</f>
        <v>86839.97671232876</v>
      </c>
      <c r="I6" s="12">
        <f>'Income Statement'!I9*Assumptions!I31/365</f>
        <v>100485.77978082193</v>
      </c>
    </row>
    <row r="7" spans="1:9" x14ac:dyDescent="0.25">
      <c r="A7" s="15" t="s">
        <v>76</v>
      </c>
      <c r="B7" s="11">
        <v>5159</v>
      </c>
      <c r="C7" s="11">
        <v>5282</v>
      </c>
      <c r="D7" s="11">
        <v>10080</v>
      </c>
      <c r="E7" s="12">
        <f>'Income Statement'!E13*Assumptions!E32/365</f>
        <v>15208.219178082192</v>
      </c>
      <c r="F7" s="12">
        <f>'Income Statement'!F13*Assumptions!F32/365</f>
        <v>22035.743013698633</v>
      </c>
      <c r="G7" s="12">
        <f>'Income Statement'!G13*Assumptions!G32/365</f>
        <v>29537.733150684937</v>
      </c>
      <c r="H7" s="12">
        <f>'Income Statement'!H13*Assumptions!H32/365</f>
        <v>36776.040931506854</v>
      </c>
      <c r="I7" s="12">
        <f>'Income Statement'!I13*Assumptions!I32/365</f>
        <v>43759.936356164399</v>
      </c>
    </row>
    <row r="8" spans="1:9" x14ac:dyDescent="0.25">
      <c r="A8" s="15" t="s">
        <v>77</v>
      </c>
      <c r="B8" s="11">
        <v>791</v>
      </c>
      <c r="C8" s="11">
        <v>3080</v>
      </c>
      <c r="D8" s="11">
        <v>3771</v>
      </c>
      <c r="E8" s="12">
        <f>D8*1.05</f>
        <v>3959.55</v>
      </c>
      <c r="F8" s="12">
        <f>E8*1.05</f>
        <v>4157.5275000000001</v>
      </c>
      <c r="G8" s="12">
        <f>F8*1.05</f>
        <v>4365.403875</v>
      </c>
      <c r="H8" s="12">
        <f>G8*1.05</f>
        <v>4583.6740687500005</v>
      </c>
      <c r="I8" s="12">
        <f>H8*1.05</f>
        <v>4812.8577721875008</v>
      </c>
    </row>
    <row r="10" spans="1:9" x14ac:dyDescent="0.25">
      <c r="A10" s="10" t="s">
        <v>78</v>
      </c>
      <c r="B10" s="25">
        <f t="shared" ref="B10:I10" si="0">SUM(B4:B8)</f>
        <v>23073</v>
      </c>
      <c r="C10" s="25">
        <f t="shared" si="0"/>
        <v>44345</v>
      </c>
      <c r="D10" s="25">
        <f t="shared" si="0"/>
        <v>80126</v>
      </c>
      <c r="E10" s="25">
        <f t="shared" si="0"/>
        <v>154101.56996575341</v>
      </c>
      <c r="F10" s="25">
        <f t="shared" si="0"/>
        <v>277544.53683835617</v>
      </c>
      <c r="G10" s="25">
        <f t="shared" si="0"/>
        <v>452318.7302957534</v>
      </c>
      <c r="H10" s="25">
        <f t="shared" si="0"/>
        <v>677113.07357294508</v>
      </c>
      <c r="I10" s="25">
        <f t="shared" si="0"/>
        <v>944978.15776014538</v>
      </c>
    </row>
    <row r="12" spans="1:9" x14ac:dyDescent="0.25">
      <c r="A12" s="3" t="s">
        <v>79</v>
      </c>
      <c r="B12" s="4"/>
      <c r="C12" s="4"/>
      <c r="D12" s="4"/>
      <c r="E12" s="4"/>
      <c r="F12" s="4"/>
      <c r="G12" s="4"/>
      <c r="H12" s="4"/>
      <c r="I12" s="4"/>
    </row>
    <row r="13" spans="1:9" x14ac:dyDescent="0.25">
      <c r="A13" s="15" t="s">
        <v>80</v>
      </c>
      <c r="B13" s="11">
        <v>4845</v>
      </c>
      <c r="C13" s="11">
        <v>5260</v>
      </c>
      <c r="D13" s="11">
        <v>8076</v>
      </c>
      <c r="E13" s="12">
        <f>D13+'Income Statement'!E9*Assumptions!E36-'Income Statement'!E20</f>
        <v>11919</v>
      </c>
      <c r="F13" s="12">
        <f>E13+'Income Statement'!F9*Assumptions!F36-'Income Statement'!F20</f>
        <v>17390.46</v>
      </c>
      <c r="G13" s="12">
        <f>F13+'Income Statement'!G9*Assumptions!G36-'Income Statement'!G20</f>
        <v>24280.746999999999</v>
      </c>
      <c r="H13" s="12">
        <f>G13+'Income Statement'!H9*Assumptions!H36-'Income Statement'!H20</f>
        <v>31827.554499999998</v>
      </c>
      <c r="I13" s="12">
        <f>H13+'Income Statement'!I9*Assumptions!I36-'Income Statement'!I20</f>
        <v>40701.097149999994</v>
      </c>
    </row>
    <row r="14" spans="1:9" x14ac:dyDescent="0.25">
      <c r="A14" s="15" t="s">
        <v>81</v>
      </c>
      <c r="B14" s="11">
        <v>6048</v>
      </c>
      <c r="C14" s="11">
        <v>5542</v>
      </c>
      <c r="D14" s="11">
        <v>5995</v>
      </c>
      <c r="E14" s="12">
        <f>D14</f>
        <v>5995</v>
      </c>
      <c r="F14" s="12">
        <f>E14</f>
        <v>5995</v>
      </c>
      <c r="G14" s="12">
        <f>F14</f>
        <v>5995</v>
      </c>
      <c r="H14" s="12">
        <f>G14</f>
        <v>5995</v>
      </c>
      <c r="I14" s="12">
        <f>H14</f>
        <v>5995</v>
      </c>
    </row>
    <row r="15" spans="1:9" x14ac:dyDescent="0.25">
      <c r="A15" s="15" t="s">
        <v>82</v>
      </c>
      <c r="B15" s="11">
        <v>7216</v>
      </c>
      <c r="C15" s="11">
        <v>10581</v>
      </c>
      <c r="D15" s="11">
        <v>17404</v>
      </c>
      <c r="E15" s="12">
        <f>E39-E10-E13-E14</f>
        <v>19020.609999999986</v>
      </c>
      <c r="F15" s="12">
        <f t="shared" ref="F15:H15" si="1">F39-F10-F13-F14</f>
        <v>21739.319299999937</v>
      </c>
      <c r="G15" s="12">
        <f t="shared" si="1"/>
        <v>24544.386368999931</v>
      </c>
      <c r="H15" s="12">
        <f t="shared" si="1"/>
        <v>27442.562879769917</v>
      </c>
      <c r="I15" s="12">
        <f>I39-I10-I13-I14</f>
        <v>30441.132791464035</v>
      </c>
    </row>
    <row r="17" spans="1:9" x14ac:dyDescent="0.25">
      <c r="A17" s="10" t="s">
        <v>83</v>
      </c>
      <c r="B17" s="28">
        <f t="shared" ref="B17:I17" si="2">B10+B13+B14+B15</f>
        <v>41182</v>
      </c>
      <c r="C17" s="28">
        <f t="shared" si="2"/>
        <v>65728</v>
      </c>
      <c r="D17" s="28">
        <f t="shared" si="2"/>
        <v>111601</v>
      </c>
      <c r="E17" s="28">
        <f t="shared" si="2"/>
        <v>191036.1799657534</v>
      </c>
      <c r="F17" s="28">
        <f t="shared" si="2"/>
        <v>322669.31613835611</v>
      </c>
      <c r="G17" s="28">
        <f t="shared" si="2"/>
        <v>507138.86366475333</v>
      </c>
      <c r="H17" s="28">
        <f t="shared" si="2"/>
        <v>742378.190952715</v>
      </c>
      <c r="I17" s="28">
        <f t="shared" si="2"/>
        <v>1022115.3877016094</v>
      </c>
    </row>
    <row r="19" spans="1:9" x14ac:dyDescent="0.25">
      <c r="A19" s="3" t="s">
        <v>84</v>
      </c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15" t="s">
        <v>85</v>
      </c>
      <c r="B20" s="11">
        <v>1193</v>
      </c>
      <c r="C20" s="11">
        <v>2699</v>
      </c>
      <c r="D20" s="11">
        <v>6310</v>
      </c>
      <c r="E20" s="12">
        <f>'Income Statement'!E13*Assumptions!E33/365</f>
        <v>9885.3424657534251</v>
      </c>
      <c r="F20" s="12">
        <f>'Income Statement'!F13*Assumptions!F33/365</f>
        <v>15739.816438356167</v>
      </c>
      <c r="G20" s="12">
        <f>'Income Statement'!G13*Assumptions!G33/365</f>
        <v>21142.798465753429</v>
      </c>
      <c r="H20" s="12">
        <f>'Income Statement'!H13*Assumptions!H33/365</f>
        <v>26782.551547945208</v>
      </c>
      <c r="I20" s="12">
        <f>'Income Statement'!I13*Assumptions!I33/365</f>
        <v>32090.619994520559</v>
      </c>
    </row>
    <row r="21" spans="1:9" x14ac:dyDescent="0.25">
      <c r="A21" s="15" t="s">
        <v>86</v>
      </c>
      <c r="B21" s="11">
        <v>5370</v>
      </c>
      <c r="C21" s="11">
        <v>7931</v>
      </c>
      <c r="D21" s="11">
        <v>11737</v>
      </c>
      <c r="E21" s="12">
        <f>D21*1.08</f>
        <v>12675.960000000001</v>
      </c>
      <c r="F21" s="12">
        <f>E21*1.08</f>
        <v>13690.036800000002</v>
      </c>
      <c r="G21" s="12">
        <f>F21*1.08</f>
        <v>14785.239744000002</v>
      </c>
      <c r="H21" s="12">
        <f>G21*1.08</f>
        <v>15968.058923520004</v>
      </c>
      <c r="I21" s="12">
        <f>H21*1.08</f>
        <v>17245.503637401605</v>
      </c>
    </row>
    <row r="22" spans="1:9" x14ac:dyDescent="0.25">
      <c r="A22" s="15" t="s">
        <v>87</v>
      </c>
      <c r="B22" s="11">
        <v>1250</v>
      </c>
      <c r="C22" s="11">
        <v>1250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</row>
    <row r="24" spans="1:9" x14ac:dyDescent="0.25">
      <c r="A24" s="10" t="s">
        <v>88</v>
      </c>
      <c r="B24" s="25">
        <f t="shared" ref="B24:I24" si="3">B20+B21+B22</f>
        <v>7813</v>
      </c>
      <c r="C24" s="25">
        <f t="shared" si="3"/>
        <v>11880</v>
      </c>
      <c r="D24" s="25">
        <f t="shared" si="3"/>
        <v>18047</v>
      </c>
      <c r="E24" s="25">
        <f t="shared" si="3"/>
        <v>22561.302465753426</v>
      </c>
      <c r="F24" s="25">
        <f t="shared" si="3"/>
        <v>29429.853238356169</v>
      </c>
      <c r="G24" s="25">
        <f t="shared" si="3"/>
        <v>35928.038209753431</v>
      </c>
      <c r="H24" s="25">
        <f t="shared" si="3"/>
        <v>42750.61047146521</v>
      </c>
      <c r="I24" s="25">
        <f t="shared" si="3"/>
        <v>49336.123631922164</v>
      </c>
    </row>
    <row r="26" spans="1:9" x14ac:dyDescent="0.25">
      <c r="A26" s="3" t="s">
        <v>89</v>
      </c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15" t="s">
        <v>90</v>
      </c>
      <c r="B27" s="24">
        <f>Assumptions!B37</f>
        <v>9703</v>
      </c>
      <c r="C27" s="24">
        <f>Assumptions!C37</f>
        <v>8459</v>
      </c>
      <c r="D27" s="24">
        <f>Assumptions!D37</f>
        <v>8463</v>
      </c>
      <c r="E27" s="24">
        <f>Assumptions!E37</f>
        <v>7469</v>
      </c>
      <c r="F27" s="24">
        <f>Assumptions!F37</f>
        <v>7469</v>
      </c>
      <c r="G27" s="24">
        <f>Assumptions!G37</f>
        <v>7469</v>
      </c>
      <c r="H27" s="24">
        <f>Assumptions!H37</f>
        <v>7469</v>
      </c>
      <c r="I27" s="24">
        <f>Assumptions!I37</f>
        <v>7469</v>
      </c>
    </row>
    <row r="28" spans="1:9" x14ac:dyDescent="0.25">
      <c r="A28" s="15" t="s">
        <v>91</v>
      </c>
      <c r="B28" s="11">
        <v>2815</v>
      </c>
      <c r="C28" s="11">
        <v>3660</v>
      </c>
      <c r="D28" s="11">
        <v>5764</v>
      </c>
      <c r="E28" s="12">
        <f>D28*1.05</f>
        <v>6052.2</v>
      </c>
      <c r="F28" s="12">
        <f>E28*1.05</f>
        <v>6354.81</v>
      </c>
      <c r="G28" s="12">
        <f>F28*1.05</f>
        <v>6672.5505000000003</v>
      </c>
      <c r="H28" s="12">
        <f>G28*1.05</f>
        <v>7006.1780250000002</v>
      </c>
      <c r="I28" s="12">
        <f>H28*1.05</f>
        <v>7356.4869262500006</v>
      </c>
    </row>
    <row r="30" spans="1:9" x14ac:dyDescent="0.25">
      <c r="A30" s="10" t="s">
        <v>92</v>
      </c>
      <c r="B30" s="25">
        <f t="shared" ref="B30:I30" si="4">B24+B27+B28</f>
        <v>20331</v>
      </c>
      <c r="C30" s="25">
        <f t="shared" si="4"/>
        <v>23999</v>
      </c>
      <c r="D30" s="25">
        <f t="shared" si="4"/>
        <v>32274</v>
      </c>
      <c r="E30" s="25">
        <f t="shared" si="4"/>
        <v>36082.502465753423</v>
      </c>
      <c r="F30" s="25">
        <f t="shared" si="4"/>
        <v>43253.663238356166</v>
      </c>
      <c r="G30" s="25">
        <f t="shared" si="4"/>
        <v>50069.588709753429</v>
      </c>
      <c r="H30" s="25">
        <f t="shared" si="4"/>
        <v>57225.788496465211</v>
      </c>
      <c r="I30" s="25">
        <f t="shared" si="4"/>
        <v>64161.610558172164</v>
      </c>
    </row>
    <row r="32" spans="1:9" x14ac:dyDescent="0.25">
      <c r="A32" s="3" t="s">
        <v>93</v>
      </c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15" t="s">
        <v>94</v>
      </c>
      <c r="B33" s="11">
        <v>11973</v>
      </c>
      <c r="C33" s="11">
        <v>13134</v>
      </c>
      <c r="D33" s="11">
        <v>11261</v>
      </c>
      <c r="E33" s="12">
        <f>D33+'Cash Flow'!E6</f>
        <v>16708.55</v>
      </c>
      <c r="F33" s="12">
        <f>E33+'Cash Flow'!F6</f>
        <v>22973.232499999998</v>
      </c>
      <c r="G33" s="12">
        <f>F33+'Cash Flow'!G6</f>
        <v>30177.617374999994</v>
      </c>
      <c r="H33" s="12">
        <f>G33+'Cash Flow'!H6</f>
        <v>38462.659981249992</v>
      </c>
      <c r="I33" s="12">
        <f>H33+'Cash Flow'!I6</f>
        <v>47990.458978437484</v>
      </c>
    </row>
    <row r="34" spans="1:9" x14ac:dyDescent="0.25">
      <c r="A34" s="15" t="s">
        <v>95</v>
      </c>
      <c r="B34" s="11">
        <v>10171</v>
      </c>
      <c r="C34" s="11">
        <v>29817</v>
      </c>
      <c r="D34" s="11">
        <v>68038</v>
      </c>
      <c r="E34" s="12">
        <f>D34+'Income Statement'!E34+'Cash Flow'!E24+'Cash Flow'!E25</f>
        <v>138245.1275</v>
      </c>
      <c r="F34" s="12">
        <f>E34+'Income Statement'!F34+'Cash Flow'!F24+'Cash Flow'!F25</f>
        <v>256442.42039999994</v>
      </c>
      <c r="G34" s="12">
        <f>F34+'Income Statement'!G34+'Cash Flow'!G24+'Cash Flow'!G25</f>
        <v>426891.65757999994</v>
      </c>
      <c r="H34" s="12">
        <f>G34+'Income Statement'!H34+'Cash Flow'!H24+'Cash Flow'!H25</f>
        <v>646689.74247499986</v>
      </c>
      <c r="I34" s="12">
        <f>H34+'Income Statement'!I34+'Cash Flow'!I24+'Cash Flow'!I25</f>
        <v>909963.31816499983</v>
      </c>
    </row>
    <row r="35" spans="1:9" x14ac:dyDescent="0.25">
      <c r="A35" s="15" t="s">
        <v>96</v>
      </c>
      <c r="B35" s="11">
        <v>-43</v>
      </c>
      <c r="C35" s="11">
        <v>27</v>
      </c>
      <c r="D35" s="11">
        <v>28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</row>
    <row r="37" spans="1:9" x14ac:dyDescent="0.25">
      <c r="A37" s="10" t="s">
        <v>97</v>
      </c>
      <c r="B37" s="25">
        <f t="shared" ref="B37:I37" si="5">B33+B34+B35</f>
        <v>22101</v>
      </c>
      <c r="C37" s="25">
        <f t="shared" si="5"/>
        <v>42978</v>
      </c>
      <c r="D37" s="25">
        <f t="shared" si="5"/>
        <v>79327</v>
      </c>
      <c r="E37" s="25">
        <f t="shared" si="5"/>
        <v>154953.67749999999</v>
      </c>
      <c r="F37" s="25">
        <f t="shared" si="5"/>
        <v>279415.65289999993</v>
      </c>
      <c r="G37" s="25">
        <f t="shared" si="5"/>
        <v>457069.27495499991</v>
      </c>
      <c r="H37" s="25">
        <f t="shared" si="5"/>
        <v>685152.40245624981</v>
      </c>
      <c r="I37" s="25">
        <f t="shared" si="5"/>
        <v>957953.7771434373</v>
      </c>
    </row>
    <row r="39" spans="1:9" x14ac:dyDescent="0.25">
      <c r="A39" s="10" t="s">
        <v>98</v>
      </c>
      <c r="B39" s="28">
        <f t="shared" ref="B39:I39" si="6">B30+B37</f>
        <v>42432</v>
      </c>
      <c r="C39" s="28">
        <f t="shared" si="6"/>
        <v>66977</v>
      </c>
      <c r="D39" s="28">
        <f t="shared" si="6"/>
        <v>111601</v>
      </c>
      <c r="E39" s="28">
        <f t="shared" si="6"/>
        <v>191036.1799657534</v>
      </c>
      <c r="F39" s="28">
        <f t="shared" si="6"/>
        <v>322669.31613835611</v>
      </c>
      <c r="G39" s="28">
        <f t="shared" si="6"/>
        <v>507138.86366475333</v>
      </c>
      <c r="H39" s="28">
        <f t="shared" si="6"/>
        <v>742378.190952715</v>
      </c>
      <c r="I39" s="28">
        <f t="shared" si="6"/>
        <v>1022115.3877016094</v>
      </c>
    </row>
    <row r="41" spans="1:9" x14ac:dyDescent="0.25">
      <c r="A41" s="30" t="s">
        <v>99</v>
      </c>
      <c r="B41" s="31">
        <f t="shared" ref="B41:I41" si="7">B17-B39</f>
        <v>-1250</v>
      </c>
      <c r="C41" s="31">
        <f t="shared" si="7"/>
        <v>-1249</v>
      </c>
      <c r="D41" s="31">
        <f t="shared" si="7"/>
        <v>0</v>
      </c>
      <c r="E41" s="31">
        <f t="shared" si="7"/>
        <v>0</v>
      </c>
      <c r="F41" s="31">
        <f t="shared" si="7"/>
        <v>0</v>
      </c>
      <c r="G41" s="31">
        <f t="shared" si="7"/>
        <v>0</v>
      </c>
      <c r="H41" s="31">
        <f t="shared" si="7"/>
        <v>0</v>
      </c>
      <c r="I41" s="31">
        <f t="shared" si="7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A1:I38"/>
  <sheetViews>
    <sheetView zoomScaleNormal="100" workbookViewId="0"/>
  </sheetViews>
  <sheetFormatPr defaultColWidth="8.7109375" defaultRowHeight="15" x14ac:dyDescent="0.25"/>
  <cols>
    <col min="1" max="1" width="38" customWidth="1"/>
    <col min="2" max="9" width="16" customWidth="1"/>
  </cols>
  <sheetData>
    <row r="1" spans="1:9" ht="15.75" x14ac:dyDescent="0.25">
      <c r="A1" s="1" t="s">
        <v>100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3" spans="1:9" x14ac:dyDescent="0.25">
      <c r="A3" s="3" t="s">
        <v>101</v>
      </c>
      <c r="B3" s="4"/>
      <c r="C3" s="4"/>
      <c r="D3" s="4"/>
      <c r="E3" s="4"/>
      <c r="F3" s="4"/>
      <c r="G3" s="4"/>
      <c r="H3" s="4"/>
      <c r="I3" s="4"/>
    </row>
    <row r="4" spans="1:9" x14ac:dyDescent="0.25">
      <c r="A4" s="15" t="s">
        <v>65</v>
      </c>
      <c r="B4" s="24">
        <f>'Income Statement'!B34</f>
        <v>4435.8204370399999</v>
      </c>
      <c r="C4" s="24">
        <f>'Income Statement'!C34</f>
        <v>28223.348031999994</v>
      </c>
      <c r="D4" s="24">
        <f>'Income Statement'!D34</f>
        <v>70361.907336980003</v>
      </c>
      <c r="E4" s="24">
        <f>'Income Statement'!E34</f>
        <v>116207.1275</v>
      </c>
      <c r="F4" s="24">
        <f>'Income Statement'!F34</f>
        <v>164197.29289999997</v>
      </c>
      <c r="G4" s="24">
        <f>'Income Statement'!G34</f>
        <v>216449.23718</v>
      </c>
      <c r="H4" s="24">
        <f>'Income Statement'!H34</f>
        <v>265798.08489499992</v>
      </c>
      <c r="I4" s="24">
        <f>'Income Statement'!I34</f>
        <v>309273.57569000003</v>
      </c>
    </row>
    <row r="5" spans="1:9" x14ac:dyDescent="0.25">
      <c r="A5" s="15" t="s">
        <v>102</v>
      </c>
      <c r="B5" s="24">
        <f>'Income Statement'!B20</f>
        <v>1544</v>
      </c>
      <c r="C5" s="24">
        <f>'Income Statement'!C20</f>
        <v>1508</v>
      </c>
      <c r="D5" s="24">
        <f>'Income Statement'!D20</f>
        <v>1864</v>
      </c>
      <c r="E5" s="24">
        <f>'Income Statement'!E20</f>
        <v>2562</v>
      </c>
      <c r="F5" s="24">
        <f>'Income Statement'!F20</f>
        <v>3647.64</v>
      </c>
      <c r="G5" s="24">
        <f>'Income Statement'!G20</f>
        <v>4458.4209999999994</v>
      </c>
      <c r="H5" s="24">
        <f>'Income Statement'!H20</f>
        <v>5534.325499999999</v>
      </c>
      <c r="I5" s="24">
        <f>'Income Statement'!I20</f>
        <v>5915.6951000000017</v>
      </c>
    </row>
    <row r="6" spans="1:9" x14ac:dyDescent="0.25">
      <c r="A6" s="15" t="s">
        <v>103</v>
      </c>
      <c r="B6" s="11">
        <v>2709</v>
      </c>
      <c r="C6" s="11">
        <v>3549</v>
      </c>
      <c r="D6" s="11">
        <v>4737</v>
      </c>
      <c r="E6" s="12">
        <f>D6*1.15</f>
        <v>5447.5499999999993</v>
      </c>
      <c r="F6" s="12">
        <f>E6*1.15</f>
        <v>6264.682499999999</v>
      </c>
      <c r="G6" s="12">
        <f>F6*1.15</f>
        <v>7204.3848749999979</v>
      </c>
      <c r="H6" s="12">
        <f>G6*1.15</f>
        <v>8285.0426062499973</v>
      </c>
      <c r="I6" s="12">
        <f>H6*1.15</f>
        <v>9527.7989971874958</v>
      </c>
    </row>
    <row r="8" spans="1:9" x14ac:dyDescent="0.25">
      <c r="A8" s="10" t="s">
        <v>104</v>
      </c>
    </row>
    <row r="9" spans="1:9" x14ac:dyDescent="0.25">
      <c r="A9" s="15" t="s">
        <v>105</v>
      </c>
      <c r="B9" s="11">
        <v>822</v>
      </c>
      <c r="C9" s="11">
        <v>-6172</v>
      </c>
      <c r="D9" s="11">
        <v>-13063</v>
      </c>
      <c r="E9" s="24">
        <f>'Balance Sheet'!D6-'Balance Sheet'!E6</f>
        <v>-12030.890410958906</v>
      </c>
      <c r="F9" s="24">
        <f>'Balance Sheet'!E6-'Balance Sheet'!F6</f>
        <v>-19035.753424657531</v>
      </c>
      <c r="G9" s="24">
        <f>'Balance Sheet'!F6-'Balance Sheet'!G6</f>
        <v>-16936.586301369862</v>
      </c>
      <c r="H9" s="24">
        <f>'Balance Sheet'!G6-'Balance Sheet'!H6</f>
        <v>-15771.746575342462</v>
      </c>
      <c r="I9" s="24">
        <f>'Balance Sheet'!H6-'Balance Sheet'!I6</f>
        <v>-13645.803068493173</v>
      </c>
    </row>
    <row r="10" spans="1:9" x14ac:dyDescent="0.25">
      <c r="A10" s="15" t="s">
        <v>106</v>
      </c>
      <c r="B10" s="11">
        <v>-2554</v>
      </c>
      <c r="C10" s="11">
        <v>-98</v>
      </c>
      <c r="D10" s="11">
        <v>-4781</v>
      </c>
      <c r="E10" s="24">
        <f>'Balance Sheet'!D7-'Balance Sheet'!E7</f>
        <v>-5128.2191780821922</v>
      </c>
      <c r="F10" s="24">
        <f>'Balance Sheet'!E7-'Balance Sheet'!F7</f>
        <v>-6827.5238356164409</v>
      </c>
      <c r="G10" s="24">
        <f>'Balance Sheet'!F7-'Balance Sheet'!G7</f>
        <v>-7501.9901369863037</v>
      </c>
      <c r="H10" s="24">
        <f>'Balance Sheet'!G7-'Balance Sheet'!H7</f>
        <v>-7238.3077808219168</v>
      </c>
      <c r="I10" s="24">
        <f>'Balance Sheet'!H7-'Balance Sheet'!I7</f>
        <v>-6983.8954246575449</v>
      </c>
    </row>
    <row r="11" spans="1:9" x14ac:dyDescent="0.25">
      <c r="A11" s="15" t="s">
        <v>107</v>
      </c>
      <c r="B11" s="11">
        <v>-551</v>
      </c>
      <c r="C11" s="11">
        <v>1531</v>
      </c>
      <c r="D11" s="11">
        <v>3357</v>
      </c>
      <c r="E11" s="24">
        <f>'Balance Sheet'!E20-'Balance Sheet'!D20</f>
        <v>3575.3424657534251</v>
      </c>
      <c r="F11" s="24">
        <f>'Balance Sheet'!F20-'Balance Sheet'!E20</f>
        <v>5854.4739726027419</v>
      </c>
      <c r="G11" s="24">
        <f>'Balance Sheet'!G20-'Balance Sheet'!F20</f>
        <v>5402.9820273972618</v>
      </c>
      <c r="H11" s="24">
        <f>'Balance Sheet'!H20-'Balance Sheet'!G20</f>
        <v>5639.753082191779</v>
      </c>
      <c r="I11" s="24">
        <f>'Balance Sheet'!I20-'Balance Sheet'!H20</f>
        <v>5308.0684465753511</v>
      </c>
    </row>
    <row r="12" spans="1:9" x14ac:dyDescent="0.25">
      <c r="A12" s="15" t="s">
        <v>108</v>
      </c>
      <c r="B12" s="11">
        <v>-742</v>
      </c>
      <c r="C12" s="11">
        <v>-983</v>
      </c>
      <c r="D12" s="11">
        <v>125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4" spans="1:9" x14ac:dyDescent="0.25">
      <c r="A14" s="10" t="s">
        <v>109</v>
      </c>
      <c r="B14" s="25">
        <f t="shared" ref="B14:I14" si="0">B4+B5+B6+B9+B10+B11+B12</f>
        <v>5663.8204370399999</v>
      </c>
      <c r="C14" s="25">
        <f t="shared" si="0"/>
        <v>27558.348031999994</v>
      </c>
      <c r="D14" s="25">
        <f t="shared" si="0"/>
        <v>62600.907336980003</v>
      </c>
      <c r="E14" s="25">
        <f t="shared" si="0"/>
        <v>110632.91037671233</v>
      </c>
      <c r="F14" s="25">
        <f t="shared" si="0"/>
        <v>154100.81211232874</v>
      </c>
      <c r="G14" s="25">
        <f t="shared" si="0"/>
        <v>209076.44864404108</v>
      </c>
      <c r="H14" s="25">
        <f t="shared" si="0"/>
        <v>262247.15172727732</v>
      </c>
      <c r="I14" s="25">
        <f t="shared" si="0"/>
        <v>309395.43974061217</v>
      </c>
    </row>
    <row r="16" spans="1:9" x14ac:dyDescent="0.25">
      <c r="A16" s="3" t="s">
        <v>110</v>
      </c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15" t="s">
        <v>111</v>
      </c>
      <c r="B17" s="11">
        <v>-1833</v>
      </c>
      <c r="C17" s="11">
        <v>-1069</v>
      </c>
      <c r="D17" s="11">
        <v>-3236</v>
      </c>
      <c r="E17" s="12">
        <f>-'Income Statement'!E9*Assumptions!E36</f>
        <v>-6405</v>
      </c>
      <c r="F17" s="12">
        <f>-'Income Statement'!F9*Assumptions!F36</f>
        <v>-9119.1</v>
      </c>
      <c r="G17" s="12">
        <f>-'Income Statement'!G9*Assumptions!G36</f>
        <v>-11348.708000000001</v>
      </c>
      <c r="H17" s="12">
        <f>-'Income Statement'!H9*Assumptions!H36</f>
        <v>-13081.132999999998</v>
      </c>
      <c r="I17" s="12">
        <f>-'Income Statement'!I9*Assumptions!I36</f>
        <v>-14789.237750000004</v>
      </c>
    </row>
    <row r="18" spans="1:9" x14ac:dyDescent="0.25">
      <c r="A18" s="15" t="s">
        <v>112</v>
      </c>
      <c r="B18" s="11">
        <v>-49</v>
      </c>
      <c r="C18" s="11">
        <v>-9497</v>
      </c>
      <c r="D18" s="11">
        <v>-17207</v>
      </c>
      <c r="E18" s="11">
        <v>-2000</v>
      </c>
      <c r="F18" s="11">
        <v>-2000</v>
      </c>
      <c r="G18" s="11">
        <v>-2000</v>
      </c>
      <c r="H18" s="11">
        <v>-2000</v>
      </c>
      <c r="I18" s="11">
        <v>-2000</v>
      </c>
    </row>
    <row r="20" spans="1:9" x14ac:dyDescent="0.25">
      <c r="A20" s="10" t="s">
        <v>113</v>
      </c>
      <c r="B20" s="25">
        <f t="shared" ref="B20:I20" si="1">B17+B18</f>
        <v>-1882</v>
      </c>
      <c r="C20" s="25">
        <f t="shared" si="1"/>
        <v>-10566</v>
      </c>
      <c r="D20" s="25">
        <f t="shared" si="1"/>
        <v>-20443</v>
      </c>
      <c r="E20" s="25">
        <f t="shared" si="1"/>
        <v>-8405</v>
      </c>
      <c r="F20" s="25">
        <f t="shared" si="1"/>
        <v>-11119.1</v>
      </c>
      <c r="G20" s="25">
        <f t="shared" si="1"/>
        <v>-13348.708000000001</v>
      </c>
      <c r="H20" s="25">
        <f t="shared" si="1"/>
        <v>-15081.132999999998</v>
      </c>
      <c r="I20" s="25">
        <f t="shared" si="1"/>
        <v>-16789.237750000004</v>
      </c>
    </row>
    <row r="22" spans="1:9" x14ac:dyDescent="0.25">
      <c r="A22" s="3" t="s">
        <v>114</v>
      </c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15" t="s">
        <v>115</v>
      </c>
      <c r="B23" s="11">
        <v>0</v>
      </c>
      <c r="C23" s="11">
        <v>-1250</v>
      </c>
      <c r="D23" s="11">
        <v>-1250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x14ac:dyDescent="0.25">
      <c r="A24" s="15" t="s">
        <v>116</v>
      </c>
      <c r="B24" s="11">
        <v>-11514</v>
      </c>
      <c r="C24" s="11">
        <v>-12316</v>
      </c>
      <c r="D24" s="11">
        <v>-40636</v>
      </c>
      <c r="E24" s="11">
        <v>-45000</v>
      </c>
      <c r="F24" s="11">
        <v>-45000</v>
      </c>
      <c r="G24" s="11">
        <v>-45000</v>
      </c>
      <c r="H24" s="11">
        <v>-45000</v>
      </c>
      <c r="I24" s="11">
        <v>-45000</v>
      </c>
    </row>
    <row r="25" spans="1:9" x14ac:dyDescent="0.25">
      <c r="A25" s="15" t="s">
        <v>117</v>
      </c>
      <c r="B25" s="11">
        <v>-398</v>
      </c>
      <c r="C25" s="11">
        <v>-395</v>
      </c>
      <c r="D25" s="11">
        <v>-834</v>
      </c>
      <c r="E25" s="11">
        <v>-1000</v>
      </c>
      <c r="F25" s="11">
        <v>-1000</v>
      </c>
      <c r="G25" s="11">
        <v>-1000</v>
      </c>
      <c r="H25" s="11">
        <v>-1000</v>
      </c>
      <c r="I25" s="11">
        <v>-1000</v>
      </c>
    </row>
    <row r="26" spans="1:9" x14ac:dyDescent="0.25">
      <c r="A26" s="15" t="s">
        <v>118</v>
      </c>
      <c r="B26" s="11">
        <v>295</v>
      </c>
      <c r="C26" s="11">
        <v>328</v>
      </c>
      <c r="D26" s="11">
        <v>361</v>
      </c>
      <c r="E26" s="11">
        <v>400</v>
      </c>
      <c r="F26" s="11">
        <v>400</v>
      </c>
      <c r="G26" s="11">
        <v>400</v>
      </c>
      <c r="H26" s="11">
        <v>400</v>
      </c>
      <c r="I26" s="11">
        <v>400</v>
      </c>
    </row>
    <row r="28" spans="1:9" x14ac:dyDescent="0.25">
      <c r="A28" s="10" t="s">
        <v>119</v>
      </c>
      <c r="B28" s="25">
        <f t="shared" ref="B28:I28" si="2">B23+B24+B25+B26</f>
        <v>-11617</v>
      </c>
      <c r="C28" s="25">
        <f t="shared" si="2"/>
        <v>-13633</v>
      </c>
      <c r="D28" s="25">
        <f t="shared" si="2"/>
        <v>-42359</v>
      </c>
      <c r="E28" s="25">
        <f t="shared" si="2"/>
        <v>-45600</v>
      </c>
      <c r="F28" s="25">
        <f t="shared" si="2"/>
        <v>-45600</v>
      </c>
      <c r="G28" s="25">
        <f t="shared" si="2"/>
        <v>-45600</v>
      </c>
      <c r="H28" s="25">
        <f t="shared" si="2"/>
        <v>-45600</v>
      </c>
      <c r="I28" s="25">
        <f t="shared" si="2"/>
        <v>-45600</v>
      </c>
    </row>
    <row r="30" spans="1:9" x14ac:dyDescent="0.25">
      <c r="A30" s="3" t="s">
        <v>120</v>
      </c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10" t="s">
        <v>121</v>
      </c>
      <c r="B31" s="27">
        <f t="shared" ref="B31:I31" si="3">B14+B20+B28</f>
        <v>-7835.1795629600001</v>
      </c>
      <c r="C31" s="27">
        <f t="shared" si="3"/>
        <v>3359.3480319999944</v>
      </c>
      <c r="D31" s="27">
        <f t="shared" si="3"/>
        <v>-201.09266301999742</v>
      </c>
      <c r="E31" s="27">
        <f t="shared" si="3"/>
        <v>56627.910376712331</v>
      </c>
      <c r="F31" s="27">
        <f t="shared" si="3"/>
        <v>97381.712112328736</v>
      </c>
      <c r="G31" s="27">
        <f t="shared" si="3"/>
        <v>150127.74064404107</v>
      </c>
      <c r="H31" s="27">
        <f t="shared" si="3"/>
        <v>201566.01872727732</v>
      </c>
      <c r="I31" s="27">
        <f t="shared" si="3"/>
        <v>247006.20199061214</v>
      </c>
    </row>
    <row r="33" spans="1:9" x14ac:dyDescent="0.25">
      <c r="A33" s="15" t="s">
        <v>122</v>
      </c>
      <c r="B33" s="11">
        <v>1990</v>
      </c>
      <c r="C33" s="11">
        <v>3389</v>
      </c>
      <c r="D33" s="11">
        <v>7280</v>
      </c>
      <c r="E33" s="24">
        <f>'Balance Sheet'!D4</f>
        <v>8589</v>
      </c>
      <c r="F33" s="12">
        <f>E35</f>
        <v>65216.910376712331</v>
      </c>
      <c r="G33" s="12">
        <f>F35</f>
        <v>162598.62248904107</v>
      </c>
      <c r="H33" s="12">
        <f>G35</f>
        <v>312726.36313308217</v>
      </c>
      <c r="I33" s="12">
        <f>H35</f>
        <v>514292.38186035946</v>
      </c>
    </row>
    <row r="35" spans="1:9" x14ac:dyDescent="0.25">
      <c r="A35" s="10" t="s">
        <v>123</v>
      </c>
      <c r="B35" s="28">
        <f t="shared" ref="B35:I35" si="4">B33+B31</f>
        <v>-5845.1795629600001</v>
      </c>
      <c r="C35" s="28">
        <f t="shared" si="4"/>
        <v>6748.3480319999944</v>
      </c>
      <c r="D35" s="28">
        <f t="shared" si="4"/>
        <v>7078.9073369800026</v>
      </c>
      <c r="E35" s="28">
        <f t="shared" si="4"/>
        <v>65216.910376712331</v>
      </c>
      <c r="F35" s="28">
        <f t="shared" si="4"/>
        <v>162598.62248904107</v>
      </c>
      <c r="G35" s="28">
        <f t="shared" si="4"/>
        <v>312726.36313308217</v>
      </c>
      <c r="H35" s="28">
        <f t="shared" si="4"/>
        <v>514292.38186035946</v>
      </c>
      <c r="I35" s="28">
        <f t="shared" si="4"/>
        <v>761298.58385097166</v>
      </c>
    </row>
    <row r="37" spans="1:9" x14ac:dyDescent="0.25">
      <c r="A37" s="10" t="s">
        <v>124</v>
      </c>
      <c r="B37" s="27">
        <f t="shared" ref="B37:I37" si="5">B14+B17</f>
        <v>3830.8204370399999</v>
      </c>
      <c r="C37" s="27">
        <f t="shared" si="5"/>
        <v>26489.348031999994</v>
      </c>
      <c r="D37" s="27">
        <f t="shared" si="5"/>
        <v>59364.907336980003</v>
      </c>
      <c r="E37" s="27">
        <f t="shared" si="5"/>
        <v>104227.91037671233</v>
      </c>
      <c r="F37" s="27">
        <f t="shared" si="5"/>
        <v>144981.71211232874</v>
      </c>
      <c r="G37" s="27">
        <f t="shared" si="5"/>
        <v>197727.74064404107</v>
      </c>
      <c r="H37" s="27">
        <f t="shared" si="5"/>
        <v>249166.01872727732</v>
      </c>
      <c r="I37" s="27">
        <f t="shared" si="5"/>
        <v>294606.20199061214</v>
      </c>
    </row>
    <row r="38" spans="1:9" x14ac:dyDescent="0.25">
      <c r="A38" s="15" t="s">
        <v>125</v>
      </c>
      <c r="B38" s="26">
        <f>B37/'Income Statement'!B9</f>
        <v>0.13694217620075785</v>
      </c>
      <c r="C38" s="26">
        <f>C37/'Income Statement'!C9</f>
        <v>0.43480759055841889</v>
      </c>
      <c r="D38" s="26">
        <f>D37/'Income Statement'!D9</f>
        <v>0.45491396229016762</v>
      </c>
      <c r="E38" s="26">
        <f>E37/'Income Statement'!E9</f>
        <v>0.48818693384876971</v>
      </c>
      <c r="F38" s="26">
        <f>F37/'Income Statement'!F9</f>
        <v>0.47696059516507794</v>
      </c>
      <c r="G38" s="26">
        <f>G37/'Income Statement'!G9</f>
        <v>0.48784202906913721</v>
      </c>
      <c r="H38" s="26">
        <f>H37/'Income Statement'!H9</f>
        <v>0.49524123689509242</v>
      </c>
      <c r="I38" s="26">
        <f>I37/'Income Statement'!I9</f>
        <v>0.4980077522768408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9"/>
  </sheetPr>
  <dimension ref="A1:I40"/>
  <sheetViews>
    <sheetView topLeftCell="A7" zoomScaleNormal="100" workbookViewId="0">
      <selection activeCell="A39" sqref="A39:B40"/>
    </sheetView>
  </sheetViews>
  <sheetFormatPr defaultColWidth="8.7109375" defaultRowHeight="15" x14ac:dyDescent="0.25"/>
  <cols>
    <col min="1" max="1" width="38" customWidth="1"/>
    <col min="2" max="9" width="16" customWidth="1"/>
  </cols>
  <sheetData>
    <row r="1" spans="1:9" ht="15.75" x14ac:dyDescent="0.25">
      <c r="A1" s="1" t="s">
        <v>126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3" spans="1:9" x14ac:dyDescent="0.25">
      <c r="A3" s="3" t="s">
        <v>127</v>
      </c>
      <c r="B3" s="4"/>
      <c r="C3" s="4"/>
      <c r="D3" s="4"/>
      <c r="E3" s="4"/>
      <c r="F3" s="4"/>
      <c r="G3" s="4"/>
      <c r="H3" s="4"/>
      <c r="I3" s="4"/>
    </row>
    <row r="4" spans="1:9" x14ac:dyDescent="0.25">
      <c r="A4" s="15" t="s">
        <v>67</v>
      </c>
      <c r="E4" s="24">
        <f>'Income Statement'!E37</f>
        <v>135145.5</v>
      </c>
      <c r="F4" s="24">
        <f>'Income Statement'!F37</f>
        <v>191501.09999999998</v>
      </c>
      <c r="G4" s="24">
        <f>'Income Statement'!G37</f>
        <v>252508.753</v>
      </c>
      <c r="H4" s="24">
        <f>'Income Statement'!H37</f>
        <v>310425.34849999991</v>
      </c>
      <c r="I4" s="24">
        <f>'Income Statement'!I37</f>
        <v>360857.40110000008</v>
      </c>
    </row>
    <row r="5" spans="1:9" x14ac:dyDescent="0.25">
      <c r="A5" s="15" t="s">
        <v>128</v>
      </c>
      <c r="E5" s="12">
        <f>-'Income Statement'!E24*Assumptions!E26</f>
        <v>-17898.772500000003</v>
      </c>
      <c r="F5" s="12">
        <f>-'Income Statement'!F24*Assumptions!F26</f>
        <v>-25360.217099999998</v>
      </c>
      <c r="G5" s="12">
        <f>-'Income Statement'!G24*Assumptions!G26</f>
        <v>-33486.794820000003</v>
      </c>
      <c r="H5" s="12">
        <f>-'Income Statement'!H24*Assumptions!H26</f>
        <v>-41160.288104999992</v>
      </c>
      <c r="I5" s="12">
        <f>-'Income Statement'!I24*Assumptions!I26</f>
        <v>-47917.130310000015</v>
      </c>
    </row>
    <row r="6" spans="1:9" x14ac:dyDescent="0.25">
      <c r="A6" s="15" t="s">
        <v>129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</row>
    <row r="7" spans="1:9" x14ac:dyDescent="0.25">
      <c r="A7" s="15" t="s">
        <v>130</v>
      </c>
      <c r="E7" s="24">
        <f>'Cash Flow'!E17</f>
        <v>-6405</v>
      </c>
      <c r="F7" s="24">
        <f>'Cash Flow'!F17</f>
        <v>-9119.1</v>
      </c>
      <c r="G7" s="24">
        <f>'Cash Flow'!G17</f>
        <v>-11348.708000000001</v>
      </c>
      <c r="H7" s="24">
        <f>'Cash Flow'!H17</f>
        <v>-13081.132999999998</v>
      </c>
      <c r="I7" s="24">
        <f>'Cash Flow'!I17</f>
        <v>-14789.237750000004</v>
      </c>
    </row>
    <row r="8" spans="1:9" x14ac:dyDescent="0.25">
      <c r="A8" s="15" t="s">
        <v>131</v>
      </c>
      <c r="E8" s="24">
        <f>'Cash Flow'!E9+'Cash Flow'!E10+'Cash Flow'!E11</f>
        <v>-13583.767123287673</v>
      </c>
      <c r="F8" s="24">
        <f>'Cash Flow'!F9+'Cash Flow'!F10+'Cash Flow'!F11</f>
        <v>-20008.803287671231</v>
      </c>
      <c r="G8" s="24">
        <f>'Cash Flow'!G9+'Cash Flow'!G10+'Cash Flow'!G11</f>
        <v>-19035.594410958904</v>
      </c>
      <c r="H8" s="24">
        <f>'Cash Flow'!H9+'Cash Flow'!H10+'Cash Flow'!H11</f>
        <v>-17370.3012739726</v>
      </c>
      <c r="I8" s="24">
        <f>'Cash Flow'!I9+'Cash Flow'!I10+'Cash Flow'!I11</f>
        <v>-15321.630046575367</v>
      </c>
    </row>
    <row r="10" spans="1:9" x14ac:dyDescent="0.25">
      <c r="A10" s="10" t="s">
        <v>132</v>
      </c>
      <c r="E10" s="25">
        <f>E4+E5+E6+E7+E8</f>
        <v>97257.960376712319</v>
      </c>
      <c r="F10" s="25">
        <f>F4+F5+F6+F7+F8</f>
        <v>137012.97961232872</v>
      </c>
      <c r="G10" s="25">
        <f>G4+G5+G6+G7+G8</f>
        <v>188637.65576904107</v>
      </c>
      <c r="H10" s="25">
        <f>H4+H5+H6+H7+H8</f>
        <v>238813.62612102731</v>
      </c>
      <c r="I10" s="25">
        <f>I4+I5+I6+I7+I8</f>
        <v>282829.40299342462</v>
      </c>
    </row>
    <row r="12" spans="1:9" x14ac:dyDescent="0.25">
      <c r="A12" s="3" t="s">
        <v>133</v>
      </c>
      <c r="B12" s="4"/>
      <c r="C12" s="4"/>
      <c r="D12" s="4"/>
      <c r="E12" s="4"/>
      <c r="F12" s="4"/>
      <c r="G12" s="4"/>
      <c r="H12" s="4"/>
      <c r="I12" s="4"/>
    </row>
    <row r="13" spans="1:9" x14ac:dyDescent="0.25">
      <c r="A13" s="15" t="s">
        <v>39</v>
      </c>
      <c r="B13" s="32">
        <f>Assumptions!B43</f>
        <v>0.09</v>
      </c>
    </row>
    <row r="14" spans="1:9" x14ac:dyDescent="0.25">
      <c r="A14" s="15" t="s">
        <v>134</v>
      </c>
      <c r="E14" s="15">
        <v>1</v>
      </c>
      <c r="F14" s="15">
        <v>2</v>
      </c>
      <c r="G14" s="15">
        <v>3</v>
      </c>
      <c r="H14" s="15">
        <v>4</v>
      </c>
      <c r="I14" s="15">
        <v>5</v>
      </c>
    </row>
    <row r="15" spans="1:9" x14ac:dyDescent="0.25">
      <c r="A15" s="15" t="s">
        <v>135</v>
      </c>
      <c r="E15" s="33">
        <f>1/(1+$B$13)^E14</f>
        <v>0.9174311926605504</v>
      </c>
      <c r="F15" s="33">
        <f>1/(1+$B$13)^F14</f>
        <v>0.84167999326655996</v>
      </c>
      <c r="G15" s="33">
        <f>1/(1+$B$13)^G14</f>
        <v>0.77218348006106419</v>
      </c>
      <c r="H15" s="33">
        <f>1/(1+$B$13)^H14</f>
        <v>0.7084252110651964</v>
      </c>
      <c r="I15" s="33">
        <f>1/(1+$B$13)^I14</f>
        <v>0.64993138629834524</v>
      </c>
    </row>
    <row r="16" spans="1:9" x14ac:dyDescent="0.25">
      <c r="A16" s="10" t="s">
        <v>136</v>
      </c>
      <c r="E16" s="27">
        <f>E10*E15</f>
        <v>89227.48658413974</v>
      </c>
      <c r="F16" s="27">
        <f>F10*F15</f>
        <v>115321.08375753615</v>
      </c>
      <c r="G16" s="27">
        <f>G10*G15</f>
        <v>145662.88150229922</v>
      </c>
      <c r="H16" s="27">
        <f>H10*H15</f>
        <v>169181.59349003367</v>
      </c>
      <c r="I16" s="27">
        <f>I10*I15</f>
        <v>183819.70597344983</v>
      </c>
    </row>
    <row r="18" spans="1:9" x14ac:dyDescent="0.25">
      <c r="A18" s="3" t="s">
        <v>137</v>
      </c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15" t="s">
        <v>40</v>
      </c>
      <c r="B19" s="32">
        <f>Assumptions!B44</f>
        <v>3.5000000000000003E-2</v>
      </c>
    </row>
    <row r="20" spans="1:9" x14ac:dyDescent="0.25">
      <c r="A20" s="15" t="s">
        <v>138</v>
      </c>
      <c r="B20" s="12">
        <f>I10*(1+B19)/(B13-B19)</f>
        <v>5322335.1290580817</v>
      </c>
    </row>
    <row r="21" spans="1:9" x14ac:dyDescent="0.25">
      <c r="A21" s="15" t="s">
        <v>139</v>
      </c>
      <c r="B21" s="12">
        <f>B20*I15</f>
        <v>3459152.6487731012</v>
      </c>
    </row>
    <row r="22" spans="1:9" x14ac:dyDescent="0.25">
      <c r="A22" s="15" t="s">
        <v>140</v>
      </c>
      <c r="B22" s="12">
        <f>'Income Statement'!I37*Assumptions!B45</f>
        <v>9021435.0275000017</v>
      </c>
    </row>
    <row r="23" spans="1:9" x14ac:dyDescent="0.25">
      <c r="A23" s="15" t="s">
        <v>141</v>
      </c>
      <c r="B23" s="12">
        <f>B22*I15</f>
        <v>5863313.7738235267</v>
      </c>
    </row>
    <row r="25" spans="1:9" x14ac:dyDescent="0.25">
      <c r="A25" s="3" t="s">
        <v>142</v>
      </c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15" t="s">
        <v>143</v>
      </c>
      <c r="B26" s="12">
        <f>SUM(E16:I16)</f>
        <v>703212.75130745862</v>
      </c>
    </row>
    <row r="27" spans="1:9" x14ac:dyDescent="0.25">
      <c r="A27" s="15" t="s">
        <v>144</v>
      </c>
      <c r="B27" s="12">
        <f>B21</f>
        <v>3459152.6487731012</v>
      </c>
    </row>
    <row r="28" spans="1:9" x14ac:dyDescent="0.25">
      <c r="A28" s="10" t="s">
        <v>145</v>
      </c>
      <c r="B28" s="25">
        <f>B26+B27</f>
        <v>4162365.4000805598</v>
      </c>
    </row>
    <row r="29" spans="1:9" x14ac:dyDescent="0.25">
      <c r="A29" s="10" t="s">
        <v>146</v>
      </c>
      <c r="B29" s="27">
        <f>B26+B23</f>
        <v>6566526.5251309853</v>
      </c>
    </row>
    <row r="31" spans="1:9" x14ac:dyDescent="0.25">
      <c r="A31" s="15" t="s">
        <v>147</v>
      </c>
      <c r="B31" s="24">
        <f>-'Balance Sheet'!D27-'Balance Sheet'!D22</f>
        <v>-8463</v>
      </c>
    </row>
    <row r="32" spans="1:9" x14ac:dyDescent="0.25">
      <c r="A32" s="15" t="s">
        <v>148</v>
      </c>
      <c r="B32" s="24">
        <f>'Balance Sheet'!D4+'Balance Sheet'!D5</f>
        <v>43210</v>
      </c>
    </row>
    <row r="34" spans="1:2" x14ac:dyDescent="0.25">
      <c r="A34" s="10" t="s">
        <v>149</v>
      </c>
      <c r="B34" s="28">
        <f>B28+B31+B32</f>
        <v>4197112.4000805598</v>
      </c>
    </row>
    <row r="35" spans="1:2" x14ac:dyDescent="0.25">
      <c r="A35" s="10" t="s">
        <v>150</v>
      </c>
      <c r="B35" s="27">
        <f>B29+B31+B32</f>
        <v>6601273.5251309853</v>
      </c>
    </row>
    <row r="37" spans="1:2" x14ac:dyDescent="0.25">
      <c r="A37" s="15" t="s">
        <v>151</v>
      </c>
      <c r="B37" s="24">
        <f>Assumptions!D40</f>
        <v>24804</v>
      </c>
    </row>
    <row r="39" spans="1:2" x14ac:dyDescent="0.25">
      <c r="A39" s="10" t="s">
        <v>152</v>
      </c>
      <c r="B39" s="34">
        <f>B34/B37</f>
        <v>169.21111111435897</v>
      </c>
    </row>
    <row r="40" spans="1:2" x14ac:dyDescent="0.25">
      <c r="A40" s="10" t="s">
        <v>153</v>
      </c>
      <c r="B40" s="34">
        <f>B35/B37</f>
        <v>266.13745868130081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9"/>
  </sheetPr>
  <dimension ref="A1:I18"/>
  <sheetViews>
    <sheetView tabSelected="1" zoomScaleNormal="100" workbookViewId="0">
      <selection activeCell="B18" sqref="B18"/>
    </sheetView>
  </sheetViews>
  <sheetFormatPr defaultColWidth="8.7109375" defaultRowHeight="15" x14ac:dyDescent="0.25"/>
  <cols>
    <col min="1" max="1" width="61.5703125" bestFit="1" customWidth="1"/>
    <col min="2" max="9" width="16" customWidth="1"/>
  </cols>
  <sheetData>
    <row r="1" spans="1:9" ht="15.75" x14ac:dyDescent="0.25">
      <c r="A1" s="1" t="s">
        <v>154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3" spans="1:9" x14ac:dyDescent="0.25">
      <c r="A3" s="3" t="s">
        <v>155</v>
      </c>
      <c r="B3" s="4"/>
      <c r="C3" s="4"/>
      <c r="D3" s="4"/>
      <c r="E3" s="4"/>
      <c r="F3" s="4"/>
      <c r="G3" s="4"/>
      <c r="H3" s="4"/>
      <c r="I3" s="4"/>
    </row>
    <row r="4" spans="1:9" x14ac:dyDescent="0.25">
      <c r="A4" s="10" t="s">
        <v>156</v>
      </c>
      <c r="B4" s="35">
        <v>0.02</v>
      </c>
      <c r="C4" s="35">
        <v>2.5000000000000001E-2</v>
      </c>
      <c r="D4" s="35">
        <v>0.03</v>
      </c>
      <c r="E4" s="35">
        <v>3.5000000000000003E-2</v>
      </c>
      <c r="F4" s="35">
        <v>0.04</v>
      </c>
    </row>
    <row r="5" spans="1:9" x14ac:dyDescent="0.25">
      <c r="A5" s="36">
        <v>0.08</v>
      </c>
      <c r="B5" s="37">
        <f>('DCF Valuation'!B26 + 'DCF Valuation'!I10*(1+B$4)/($A$5-B$4)/(1+$A$5)^5 + 'DCF Valuation'!B31 + 'DCF Valuation'!B32) / 'DCF Valuation'!B37</f>
        <v>161.67842765209133</v>
      </c>
      <c r="C5" s="37">
        <f>('DCF Valuation'!B26 + 'DCF Valuation'!I10*(1+C$4)/($A$5-C$4)/(1+$A$5)^5 + 'DCF Valuation'!B31 + 'DCF Valuation'!B32) / 'DCF Valuation'!B37</f>
        <v>174.37726254484849</v>
      </c>
      <c r="D5" s="37">
        <f>('DCF Valuation'!B26 + 'DCF Valuation'!I10*(1+D$4)/($A$5-D$4)/(1+$A$5)^5 + 'DCF Valuation'!B31 + 'DCF Valuation'!B32) / 'DCF Valuation'!B37</f>
        <v>189.61586441615705</v>
      </c>
      <c r="E5" s="37">
        <f>('DCF Valuation'!B26 + 'DCF Valuation'!I10*(1+E$4)/($A$5-E$4)/(1+$A$5)^5 + 'DCF Valuation'!B31 + 'DCF Valuation'!B32) / 'DCF Valuation'!B37</f>
        <v>208.24082225886747</v>
      </c>
      <c r="F5" s="37">
        <f>('DCF Valuation'!B26 + 'DCF Valuation'!I10*(1+F$4)/($A$5-F$4)/(1+$A$5)^5 + 'DCF Valuation'!B31 + 'DCF Valuation'!B32) / 'DCF Valuation'!B37</f>
        <v>231.52201956225557</v>
      </c>
    </row>
    <row r="6" spans="1:9" x14ac:dyDescent="0.25">
      <c r="A6" s="36">
        <v>0.09</v>
      </c>
      <c r="B6" s="37">
        <f>('DCF Valuation'!B26 + 'DCF Valuation'!I10*(1+B$4)/($A$6-B$4)/(1+$A$6)^5 + 'DCF Valuation'!B31 + 'DCF Valuation'!B32) / 'DCF Valuation'!B37</f>
        <v>137.73889158686441</v>
      </c>
      <c r="C6" s="37">
        <f>('DCF Valuation'!B26 + 'DCF Valuation'!I10*(1+C$4)/($A$6-C$4)/(1+$A$6)^5 + 'DCF Valuation'!B31 + 'DCF Valuation'!B32) / 'DCF Valuation'!B37</f>
        <v>146.61567145359362</v>
      </c>
      <c r="D6" s="37">
        <f>('DCF Valuation'!B26 + 'DCF Valuation'!I10*(1+D$4)/($A$6-D$4)/(1+$A$6)^5 + 'DCF Valuation'!B31 + 'DCF Valuation'!B32) / 'DCF Valuation'!B37</f>
        <v>156.97191463144446</v>
      </c>
      <c r="E6" s="37">
        <f>('DCF Valuation'!B26 + 'DCF Valuation'!I10*(1+E$4)/($A$6-E$4)/(1+$A$6)^5 + 'DCF Valuation'!B31 + 'DCF Valuation'!B32) / 'DCF Valuation'!B37</f>
        <v>169.21111111435897</v>
      </c>
      <c r="F6" s="37">
        <f>('DCF Valuation'!B26 + 'DCF Valuation'!I10*(1+F$4)/($A$6-F$4)/(1+$A$6)^5 + 'DCF Valuation'!B31 + 'DCF Valuation'!B32) / 'DCF Valuation'!B37</f>
        <v>183.89814689385645</v>
      </c>
    </row>
    <row r="7" spans="1:9" x14ac:dyDescent="0.25">
      <c r="A7" s="36">
        <v>0.1</v>
      </c>
      <c r="B7" s="37">
        <f>('DCF Valuation'!B26 + 'DCF Valuation'!I10*(1+B$4)/($A$7-B$4)/(1+$A$7)^5 + 'DCF Valuation'!B31 + 'DCF Valuation'!B32) / 'DCF Valuation'!B37</f>
        <v>120.02292138034136</v>
      </c>
      <c r="C7" s="37">
        <f>('DCF Valuation'!B26 + 'DCF Valuation'!I10*(1+C$4)/($A$7-C$4)/(1+$A$7)^5 + 'DCF Valuation'!B31 + 'DCF Valuation'!B32) / 'DCF Valuation'!B37</f>
        <v>126.51301329486384</v>
      </c>
      <c r="D7" s="37">
        <f>('DCF Valuation'!B26 + 'DCF Valuation'!I10*(1+D$4)/($A$7-D$4)/(1+$A$7)^5 + 'DCF Valuation'!B31 + 'DCF Valuation'!B32) / 'DCF Valuation'!B37</f>
        <v>133.93026119717527</v>
      </c>
      <c r="E7" s="37">
        <f>('DCF Valuation'!B26 + 'DCF Valuation'!I10*(1+E$4)/($A$7-E$4)/(1+$A$7)^5 + 'DCF Valuation'!B31 + 'DCF Valuation'!B32) / 'DCF Valuation'!B37</f>
        <v>142.48862416138073</v>
      </c>
      <c r="F7" s="37">
        <f>('DCF Valuation'!B26 + 'DCF Valuation'!I10*(1+F$4)/($A$7-F$4)/(1+$A$7)^5 + 'DCF Valuation'!B31 + 'DCF Valuation'!B32) / 'DCF Valuation'!B37</f>
        <v>152.47338095295379</v>
      </c>
    </row>
    <row r="8" spans="1:9" x14ac:dyDescent="0.25">
      <c r="A8" s="36">
        <v>0.11</v>
      </c>
      <c r="B8" s="37">
        <f>('DCF Valuation'!B26 + 'DCF Valuation'!I10*(1+B$4)/($A$8-B$4)/(1+$A$8)^5 + 'DCF Valuation'!B31 + 'DCF Valuation'!B32) / 'DCF Valuation'!B37</f>
        <v>106.44285515532331</v>
      </c>
      <c r="C8" s="37">
        <f>('DCF Valuation'!B26 + 'DCF Valuation'!I10*(1+C$4)/($A$8-C$4)/(1+$A$8)^5 + 'DCF Valuation'!B31 + 'DCF Valuation'!B32) / 'DCF Valuation'!B37</f>
        <v>111.35215420762427</v>
      </c>
      <c r="D8" s="37">
        <f>('DCF Valuation'!B26 + 'DCF Valuation'!I10*(1+D$4)/($A$8-D$4)/(1+$A$8)^5 + 'DCF Valuation'!B31 + 'DCF Valuation'!B32) / 'DCF Valuation'!B37</f>
        <v>116.87511564146283</v>
      </c>
      <c r="E8" s="37">
        <f>('DCF Valuation'!B26 + 'DCF Valuation'!I10*(1+E$4)/($A$8-E$4)/(1+$A$8)^5 + 'DCF Valuation'!B31 + 'DCF Valuation'!B32) / 'DCF Valuation'!B37</f>
        <v>123.13447193314653</v>
      </c>
      <c r="F8" s="37">
        <f>('DCF Valuation'!B26 + 'DCF Valuation'!I10*(1+F$4)/($A$8-F$4)/(1+$A$8)^5 + 'DCF Valuation'!B31 + 'DCF Valuation'!B32) / 'DCF Valuation'!B37</f>
        <v>130.28802198078506</v>
      </c>
    </row>
    <row r="9" spans="1:9" x14ac:dyDescent="0.25">
      <c r="A9" s="36">
        <v>0.12</v>
      </c>
      <c r="B9" s="37">
        <f>('DCF Valuation'!B26 + 'DCF Valuation'!I10*(1+B$4)/($A$9-B$4)/(1+$A$9)^5 + 'DCF Valuation'!B31 + 'DCF Valuation'!B32) / 'DCF Valuation'!B37</f>
        <v>95.746925476931125</v>
      </c>
      <c r="C9" s="37">
        <f>('DCF Valuation'!B26 + 'DCF Valuation'!I10*(1+C$4)/($A$9-C$4)/(1+$A$9)^5 + 'DCF Valuation'!B31 + 'DCF Valuation'!B32) / 'DCF Valuation'!B37</f>
        <v>99.560894333965365</v>
      </c>
      <c r="D9" s="37">
        <f>('DCF Valuation'!B26 + 'DCF Valuation'!I10*(1+D$4)/($A$9-D$4)/(1+$A$9)^5 + 'DCF Valuation'!B31 + 'DCF Valuation'!B32) / 'DCF Valuation'!B37</f>
        <v>103.79863750844784</v>
      </c>
      <c r="E9" s="37">
        <f>('DCF Valuation'!B26 + 'DCF Valuation'!I10*(1+E$4)/($A$9-E$4)/(1+$A$9)^5 + 'DCF Valuation'!B31 + 'DCF Valuation'!B32) / 'DCF Valuation'!B37</f>
        <v>108.53493870345768</v>
      </c>
      <c r="F9" s="37">
        <f>('DCF Valuation'!B26 + 'DCF Valuation'!I10*(1+F$4)/($A$9-F$4)/(1+$A$9)^5 + 'DCF Valuation'!B31 + 'DCF Valuation'!B32) / 'DCF Valuation'!B37</f>
        <v>113.86327754784374</v>
      </c>
    </row>
    <row r="12" spans="1:9" x14ac:dyDescent="0.25">
      <c r="A12" s="3" t="s">
        <v>157</v>
      </c>
      <c r="B12" s="4"/>
      <c r="C12" s="4"/>
      <c r="D12" s="4"/>
      <c r="E12" s="4"/>
      <c r="F12" s="4"/>
      <c r="G12" s="4"/>
      <c r="H12" s="4"/>
      <c r="I12" s="4"/>
    </row>
    <row r="13" spans="1:9" x14ac:dyDescent="0.25">
      <c r="A13" s="10" t="s">
        <v>158</v>
      </c>
      <c r="B13" s="38">
        <v>20</v>
      </c>
      <c r="C13" s="38">
        <v>22.5</v>
      </c>
      <c r="D13" s="38">
        <v>25</v>
      </c>
      <c r="E13" s="38">
        <v>27.5</v>
      </c>
      <c r="F13" s="38">
        <v>30</v>
      </c>
    </row>
    <row r="14" spans="1:9" x14ac:dyDescent="0.25">
      <c r="A14" s="36">
        <v>0.08</v>
      </c>
      <c r="B14" s="37">
        <f>('DCF Valuation'!B26 + 'Income Statement'!I37*B$13/(1+$A$14)^5 + 'DCF Valuation'!B31 + 'DCF Valuation'!B32) / 'DCF Valuation'!B37</f>
        <v>227.77896410200157</v>
      </c>
      <c r="C14" s="37">
        <f>('DCF Valuation'!B26 + 'Income Statement'!I37*C$13/(1+$A$14)^5 + 'DCF Valuation'!B31 + 'DCF Valuation'!B32) / 'DCF Valuation'!B37</f>
        <v>252.53237924814022</v>
      </c>
      <c r="D14" s="37">
        <f>('DCF Valuation'!B26 + 'Income Statement'!I37*D$13/(1+$A$14)^5 + 'DCF Valuation'!B31 + 'DCF Valuation'!B32) / 'DCF Valuation'!B37</f>
        <v>277.28579439427887</v>
      </c>
      <c r="E14" s="37">
        <f>('DCF Valuation'!B26 + 'Income Statement'!I37*E$13/(1+$A$14)^5 + 'DCF Valuation'!B31 + 'DCF Valuation'!B32) / 'DCF Valuation'!B37</f>
        <v>302.03920954041757</v>
      </c>
      <c r="F14" s="37">
        <f>('DCF Valuation'!B26 + 'Income Statement'!I37*F$13/(1+$A$14)^5 + 'DCF Valuation'!B31 + 'DCF Valuation'!B32) / 'DCF Valuation'!B37</f>
        <v>326.79262468655622</v>
      </c>
    </row>
    <row r="15" spans="1:9" x14ac:dyDescent="0.25">
      <c r="A15" s="36">
        <v>0.09</v>
      </c>
      <c r="B15" s="37">
        <f>('DCF Valuation'!B26 + 'Income Statement'!I37*B$13/(1+$A$15)^5 + 'DCF Valuation'!B31 + 'DCF Valuation'!B32) / 'DCF Valuation'!B37</f>
        <v>218.8602955316191</v>
      </c>
      <c r="C15" s="37">
        <f>('DCF Valuation'!B26 + 'Income Statement'!I37*C$13/(1+$A$15)^5 + 'DCF Valuation'!B31 + 'DCF Valuation'!B32) / 'DCF Valuation'!B37</f>
        <v>242.49887710645999</v>
      </c>
      <c r="D15" s="37">
        <f>('DCF Valuation'!B26 + 'Income Statement'!I37*D$13/(1+$A$15)^5 + 'DCF Valuation'!B31 + 'DCF Valuation'!B32) / 'DCF Valuation'!B37</f>
        <v>266.13745868130081</v>
      </c>
      <c r="E15" s="37">
        <f>('DCF Valuation'!B26 + 'Income Statement'!I37*E$13/(1+$A$15)^5 + 'DCF Valuation'!B31 + 'DCF Valuation'!B32) / 'DCF Valuation'!B37</f>
        <v>289.7760402561417</v>
      </c>
      <c r="F15" s="37">
        <f>('DCF Valuation'!B26 + 'Income Statement'!I37*F$13/(1+$A$15)^5 + 'DCF Valuation'!B31 + 'DCF Valuation'!B32) / 'DCF Valuation'!B37</f>
        <v>313.41462183098253</v>
      </c>
    </row>
    <row r="16" spans="1:9" x14ac:dyDescent="0.25">
      <c r="A16" s="36">
        <v>0.1</v>
      </c>
      <c r="B16" s="37">
        <f>('DCF Valuation'!B26 + 'Income Statement'!I37*B$13/(1+$A$16)^5 + 'DCF Valuation'!B31 + 'DCF Valuation'!B32) / 'DCF Valuation'!B37</f>
        <v>210.41932147401482</v>
      </c>
      <c r="C16" s="37">
        <f>('DCF Valuation'!B26 + 'Income Statement'!I37*C$13/(1+$A$16)^5 + 'DCF Valuation'!B31 + 'DCF Valuation'!B32) / 'DCF Valuation'!B37</f>
        <v>233.00278129165514</v>
      </c>
      <c r="D16" s="37">
        <f>('DCF Valuation'!B26 + 'Income Statement'!I37*D$13/(1+$A$16)^5 + 'DCF Valuation'!B31 + 'DCF Valuation'!B32) / 'DCF Valuation'!B37</f>
        <v>255.58624110929543</v>
      </c>
      <c r="E16" s="37">
        <f>('DCF Valuation'!B26 + 'Income Statement'!I37*E$13/(1+$A$16)^5 + 'DCF Valuation'!B31 + 'DCF Valuation'!B32) / 'DCF Valuation'!B37</f>
        <v>278.16970092693577</v>
      </c>
      <c r="F16" s="37">
        <f>('DCF Valuation'!B26 + 'Income Statement'!I37*F$13/(1+$A$16)^5 + 'DCF Valuation'!B31 + 'DCF Valuation'!B32) / 'DCF Valuation'!B37</f>
        <v>300.75316074457606</v>
      </c>
    </row>
    <row r="17" spans="1:6" x14ac:dyDescent="0.25">
      <c r="A17" s="36">
        <v>0.11</v>
      </c>
      <c r="B17" s="37">
        <f>('DCF Valuation'!B26 + 'Income Statement'!I37*B$13/(1+$A$17)^5 + 'DCF Valuation'!B31 + 'DCF Valuation'!B32) / 'DCF Valuation'!B37</f>
        <v>202.42645661016607</v>
      </c>
      <c r="C17" s="37">
        <f>('DCF Valuation'!B26 + 'Income Statement'!I37*C$13/(1+$A$17)^5 + 'DCF Valuation'!B31 + 'DCF Valuation'!B32) / 'DCF Valuation'!B37</f>
        <v>224.01080831982529</v>
      </c>
      <c r="D17" s="37">
        <f>('DCF Valuation'!B26 + 'Income Statement'!I37*D$13/(1+$A$17)^5 + 'DCF Valuation'!B31 + 'DCF Valuation'!B32) / 'DCF Valuation'!B37</f>
        <v>245.5951600294845</v>
      </c>
      <c r="E17" s="37">
        <f>('DCF Valuation'!B26 + 'Income Statement'!I37*E$13/(1+$A$17)^5 + 'DCF Valuation'!B31 + 'DCF Valuation'!B32) / 'DCF Valuation'!B37</f>
        <v>267.17951173914378</v>
      </c>
      <c r="F17" s="37">
        <f>('DCF Valuation'!B26 + 'Income Statement'!I37*F$13/(1+$A$17)^5 + 'DCF Valuation'!B31 + 'DCF Valuation'!B32) / 'DCF Valuation'!B37</f>
        <v>288.76386344880297</v>
      </c>
    </row>
    <row r="18" spans="1:6" x14ac:dyDescent="0.25">
      <c r="A18" s="36">
        <v>0.12</v>
      </c>
      <c r="B18" s="37">
        <f>('DCF Valuation'!B26 + 'Income Statement'!I37*B$13/(1+$A$18)^5 + 'DCF Valuation'!B31 + 'DCF Valuation'!B32) / 'DCF Valuation'!B37</f>
        <v>194.8541912871564</v>
      </c>
      <c r="C18" s="37">
        <f>('DCF Valuation'!B26 + 'Income Statement'!I37*C$13/(1+$A$18)^5 + 'DCF Valuation'!B31 + 'DCF Valuation'!B32) / 'DCF Valuation'!B37</f>
        <v>215.49200983143945</v>
      </c>
      <c r="D18" s="37">
        <f>('DCF Valuation'!B26 + 'Income Statement'!I37*D$13/(1+$A$18)^5 + 'DCF Valuation'!B31 + 'DCF Valuation'!B32) / 'DCF Valuation'!B37</f>
        <v>236.12982837572244</v>
      </c>
      <c r="E18" s="37">
        <f>('DCF Valuation'!B26 + 'Income Statement'!I37*E$13/(1+$A$18)^5 + 'DCF Valuation'!B31 + 'DCF Valuation'!B32) / 'DCF Valuation'!B37</f>
        <v>256.76764692000546</v>
      </c>
      <c r="F18" s="37">
        <f>('DCF Valuation'!B26 + 'Income Statement'!I37*F$13/(1+$A$18)^5 + 'DCF Valuation'!B31 + 'DCF Valuation'!B32) / 'DCF Valuation'!B37</f>
        <v>277.40546546428845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Income Statement</vt:lpstr>
      <vt:lpstr>Balance Sheet</vt:lpstr>
      <vt:lpstr>Cash Flow</vt:lpstr>
      <vt:lpstr>DCF Valuation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zhraan sheikh</cp:lastModifiedBy>
  <cp:revision>0</cp:revision>
  <dcterms:created xsi:type="dcterms:W3CDTF">2026-03-05T05:50:37Z</dcterms:created>
  <dcterms:modified xsi:type="dcterms:W3CDTF">2026-03-11T12:46:37Z</dcterms:modified>
  <dc:language>en-US</dc:language>
</cp:coreProperties>
</file>